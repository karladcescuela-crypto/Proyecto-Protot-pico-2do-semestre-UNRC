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eyk\Documents\Escuela UNRC\2do semestre\Proyecto prototipico\Entrega final\"/>
    </mc:Choice>
  </mc:AlternateContent>
  <xr:revisionPtr revIDLastSave="0" documentId="13_ncr:1_{07450A08-039A-4417-87A1-DC5C70AC88B5}" xr6:coauthVersionLast="47" xr6:coauthVersionMax="47" xr10:uidLastSave="{00000000-0000-0000-0000-000000000000}"/>
  <bookViews>
    <workbookView xWindow="-108" yWindow="-108" windowWidth="23256" windowHeight="13176" activeTab="1" xr2:uid="{59AAEB16-171C-450B-900B-32FC4DA0F71A}"/>
  </bookViews>
  <sheets>
    <sheet name="base_suelos_final" sheetId="1" r:id="rId1"/>
    <sheet name="Graf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<sst xmlns="http://schemas.openxmlformats.org/spreadsheetml/2006/main" count="348" uniqueCount="88">
  <si>
    <t>Identificador del sitio</t>
  </si>
  <si>
    <t>Fecha</t>
  </si>
  <si>
    <t>Clave WRB 2014</t>
  </si>
  <si>
    <t>Grupo suelo</t>
  </si>
  <si>
    <t>Altitud</t>
  </si>
  <si>
    <t>Precipitacion media anual</t>
  </si>
  <si>
    <t>Temperatura media anual</t>
  </si>
  <si>
    <t>Cobertura de la tierra</t>
  </si>
  <si>
    <t>PH</t>
  </si>
  <si>
    <t>Carbon organico</t>
  </si>
  <si>
    <t>saturacion de bases</t>
  </si>
  <si>
    <t>Saturacion de sodio</t>
  </si>
  <si>
    <t>Potasio</t>
  </si>
  <si>
    <t>Calcio</t>
  </si>
  <si>
    <t>Sodio</t>
  </si>
  <si>
    <t>Magnesio</t>
  </si>
  <si>
    <t>Fosfatos</t>
  </si>
  <si>
    <t>D1403-106</t>
  </si>
  <si>
    <t>RGlep-sk-je(ar)/1P</t>
  </si>
  <si>
    <t>Regosol</t>
  </si>
  <si>
    <t>Selva caducifolia</t>
  </si>
  <si>
    <t>D1403-108</t>
  </si>
  <si>
    <t>PHcm(lo)/2P</t>
  </si>
  <si>
    <t>Phaeozem</t>
  </si>
  <si>
    <t>Selva subcaducifolia</t>
  </si>
  <si>
    <t>D1403-120</t>
  </si>
  <si>
    <t>LVro(cep,ct,hu,lon)/3P</t>
  </si>
  <si>
    <t>Luvisol</t>
  </si>
  <si>
    <t>D1403-124</t>
  </si>
  <si>
    <t>RGlep-eu/1P</t>
  </si>
  <si>
    <t>D1403-133</t>
  </si>
  <si>
    <t>RGlep-sk-eu/1P</t>
  </si>
  <si>
    <t>D1403-134</t>
  </si>
  <si>
    <t>RGlen-ok-eu(arp,lon)/1P</t>
  </si>
  <si>
    <t>D1403-141</t>
  </si>
  <si>
    <t>PHha(loe,so,qv)/2</t>
  </si>
  <si>
    <t>VegetaciÃ³n hidrÃ³fila</t>
  </si>
  <si>
    <t>D1403-201</t>
  </si>
  <si>
    <t>UMcm-skp(loa)/2P</t>
  </si>
  <si>
    <t>Umbrisol</t>
  </si>
  <si>
    <t>Bosque mesÃ³filo de montaÃ±a</t>
  </si>
  <si>
    <t>D1403-202</t>
  </si>
  <si>
    <t>UMlen-al(ap,cr,loa)/2</t>
  </si>
  <si>
    <t>D1403-203</t>
  </si>
  <si>
    <t>RGlen-je(arn,lop)/1</t>
  </si>
  <si>
    <t>D1403-204</t>
  </si>
  <si>
    <t>CMcr-je(hu,lo,lj)/2</t>
  </si>
  <si>
    <t>Cambisol</t>
  </si>
  <si>
    <t>D1403-205</t>
  </si>
  <si>
    <t>FLje(arp,lo)/1</t>
  </si>
  <si>
    <t>Fluvisol</t>
  </si>
  <si>
    <t>Agricultura</t>
  </si>
  <si>
    <t>D1403-206</t>
  </si>
  <si>
    <t>LVap-cr(arp,lon)/1</t>
  </si>
  <si>
    <t>D1403-207</t>
  </si>
  <si>
    <t>RGpr-je(arn,loa)/1</t>
  </si>
  <si>
    <t>D1403-208</t>
  </si>
  <si>
    <t>ARpr-je(oh)/1</t>
  </si>
  <si>
    <t>Arenosol</t>
  </si>
  <si>
    <t>Pastizal cultivado</t>
  </si>
  <si>
    <t>D1403-301</t>
  </si>
  <si>
    <t>RGlen-eu(ara)/1</t>
  </si>
  <si>
    <t>Pastizal</t>
  </si>
  <si>
    <t>D1403-302</t>
  </si>
  <si>
    <t>ALcr(cea,ct,hu)/3</t>
  </si>
  <si>
    <t>Alisol</t>
  </si>
  <si>
    <t>Bosque de encino</t>
  </si>
  <si>
    <t>D1403-303</t>
  </si>
  <si>
    <t>LVlen(df,lo)/2</t>
  </si>
  <si>
    <t>D1403-304</t>
  </si>
  <si>
    <t>ALro(cee,ct)/3</t>
  </si>
  <si>
    <t>Grupo</t>
  </si>
  <si>
    <t>n</t>
  </si>
  <si>
    <t>pH</t>
  </si>
  <si>
    <t>K cmol/kg</t>
  </si>
  <si>
    <t>Ca cmol/kg</t>
  </si>
  <si>
    <t>Mg cmol/kg</t>
  </si>
  <si>
    <t>P mg/kg</t>
  </si>
  <si>
    <t>Sat.bases%</t>
  </si>
  <si>
    <t>7.33 alcalino</t>
  </si>
  <si>
    <t>7.01 alcalino</t>
  </si>
  <si>
    <t>5.99 ácido</t>
  </si>
  <si>
    <t>Posición</t>
  </si>
  <si>
    <t>Variable</t>
  </si>
  <si>
    <t>CO% (proxy N)</t>
  </si>
  <si>
    <t>Tipos de suelos</t>
  </si>
  <si>
    <t>CO% (↑N)</t>
  </si>
  <si>
    <t>Tipos de suelos: Nutrientes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</si>
</sst>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33806"/>
      <name val="Calibri"/>
      <family val="2"/>
      <scheme val="minor"/>
    </font>
    <font>
      <sz val="12"/>
      <color rgb="FF791F1F"/>
      <name val="Calibri"/>
      <family val="2"/>
      <scheme val="minor"/>
    </font>
    <font>
      <sz val="12"/>
      <color rgb="FF27500A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1B63"/>
        <bgColor indexed="64"/>
      </patternFill>
    </fill>
    <fill>
      <patternFill patternType="solid">
        <fgColor rgb="FFF098BE"/>
        <bgColor indexed="64"/>
      </patternFill>
    </fill>
    <fill>
      <patternFill patternType="solid">
        <fgColor rgb="FFDDB969"/>
        <bgColor indexed="64"/>
      </patternFill>
    </fill>
    <fill>
      <patternFill patternType="solid">
        <fgColor rgb="FFC9992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5" borderId="0" xfId="0" applyFont="1" applyFill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BF1B63"/>
      <color rgb="FFC9992D"/>
      <color rgb="FFDDB969"/>
      <color rgb="FFA37B25"/>
      <color rgb="FFF098BE"/>
      <color rgb="FFF8EFEB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Propiedades medias de los tipos de suelos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Graficas!$A$3</c:f>
              <c:strCache>
                <c:ptCount val="1"/>
                <c:pt idx="0">
                  <c:v>Cambisol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Graficas!$B$3:$I$3</c:f>
              <c:numCache>
                <c:formatCode>General</c:formatCode>
                <c:ptCount val="8"/>
                <c:pt idx="0">
                  <c:v>6</c:v>
                </c:pt>
                <c:pt idx="1">
                  <c:v>0</c:v>
                </c:pt>
                <c:pt idx="2">
                  <c:v>1.4330000000000001</c:v>
                </c:pt>
                <c:pt idx="3">
                  <c:v>5.15</c:v>
                </c:pt>
                <c:pt idx="4">
                  <c:v>16.600000000000001</c:v>
                </c:pt>
                <c:pt idx="5">
                  <c:v>2.4</c:v>
                </c:pt>
                <c:pt idx="6">
                  <c:v>33.33</c:v>
                </c:pt>
                <c:pt idx="7">
                  <c:v>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38A-8105-9DEBCCBF71CE}"/>
            </c:ext>
          </c:extLst>
        </c:ser>
        <c:ser>
          <c:idx val="1"/>
          <c:order val="1"/>
          <c:tx>
            <c:strRef>
              <c:f>Graficas!$A$4</c:f>
              <c:strCache>
                <c:ptCount val="1"/>
                <c:pt idx="0">
                  <c:v>Phaeozem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Graficas!$B$4:$I$4</c:f>
              <c:numCache>
                <c:formatCode>General</c:formatCode>
                <c:ptCount val="8"/>
                <c:pt idx="0">
                  <c:v>9</c:v>
                </c:pt>
                <c:pt idx="1">
                  <c:v>0</c:v>
                </c:pt>
                <c:pt idx="2">
                  <c:v>1.111</c:v>
                </c:pt>
                <c:pt idx="3">
                  <c:v>0.17799999999999999</c:v>
                </c:pt>
                <c:pt idx="4">
                  <c:v>11.76</c:v>
                </c:pt>
                <c:pt idx="5">
                  <c:v>3.8109999999999999</c:v>
                </c:pt>
                <c:pt idx="6">
                  <c:v>5.6</c:v>
                </c:pt>
                <c:pt idx="7">
                  <c:v>75.2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F3-438A-8105-9DEBCCBF71CE}"/>
            </c:ext>
          </c:extLst>
        </c:ser>
        <c:ser>
          <c:idx val="2"/>
          <c:order val="2"/>
          <c:tx>
            <c:strRef>
              <c:f>Graficas!$A$5</c:f>
              <c:strCache>
                <c:ptCount val="1"/>
                <c:pt idx="0">
                  <c:v>Luvisol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Graficas!$B$5:$I$5</c:f>
              <c:numCache>
                <c:formatCode>General</c:formatCode>
                <c:ptCount val="8"/>
                <c:pt idx="0">
                  <c:v>13</c:v>
                </c:pt>
                <c:pt idx="1">
                  <c:v>6.05</c:v>
                </c:pt>
                <c:pt idx="2">
                  <c:v>0.61499999999999999</c:v>
                </c:pt>
                <c:pt idx="3">
                  <c:v>0.41499999999999998</c:v>
                </c:pt>
                <c:pt idx="4">
                  <c:v>5.3380000000000001</c:v>
                </c:pt>
                <c:pt idx="5">
                  <c:v>1.1619999999999999</c:v>
                </c:pt>
                <c:pt idx="6">
                  <c:v>1.615</c:v>
                </c:pt>
                <c:pt idx="7">
                  <c:v>54.4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F3-438A-8105-9DEBCCBF71CE}"/>
            </c:ext>
          </c:extLst>
        </c:ser>
        <c:ser>
          <c:idx val="3"/>
          <c:order val="3"/>
          <c:tx>
            <c:strRef>
              <c:f>Graficas!$A$6</c:f>
              <c:strCache>
                <c:ptCount val="1"/>
                <c:pt idx="0">
                  <c:v>Umbrisol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Graficas!$B$6:$I$6</c:f>
              <c:numCache>
                <c:formatCode>General</c:formatCode>
                <c:ptCount val="8"/>
                <c:pt idx="0">
                  <c:v>7</c:v>
                </c:pt>
                <c:pt idx="1">
                  <c:v>6.36</c:v>
                </c:pt>
                <c:pt idx="2">
                  <c:v>1.5</c:v>
                </c:pt>
                <c:pt idx="3">
                  <c:v>1.357</c:v>
                </c:pt>
                <c:pt idx="4">
                  <c:v>3.1709999999999998</c:v>
                </c:pt>
                <c:pt idx="5">
                  <c:v>0.81399999999999995</c:v>
                </c:pt>
                <c:pt idx="6">
                  <c:v>1.9139999999999999</c:v>
                </c:pt>
                <c:pt idx="7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F3-438A-8105-9DEBCCBF71CE}"/>
            </c:ext>
          </c:extLst>
        </c:ser>
        <c:ser>
          <c:idx val="4"/>
          <c:order val="4"/>
          <c:tx>
            <c:strRef>
              <c:f>Graficas!$A$7</c:f>
              <c:strCache>
                <c:ptCount val="1"/>
                <c:pt idx="0">
                  <c:v>Fluvisol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Graficas!$B$7:$I$7</c:f>
              <c:numCache>
                <c:formatCode>General</c:formatCode>
                <c:ptCount val="8"/>
                <c:pt idx="0">
                  <c:v>6</c:v>
                </c:pt>
                <c:pt idx="1">
                  <c:v>6.82</c:v>
                </c:pt>
                <c:pt idx="2">
                  <c:v>0.183</c:v>
                </c:pt>
                <c:pt idx="3">
                  <c:v>1.383</c:v>
                </c:pt>
                <c:pt idx="4">
                  <c:v>3.2330000000000001</c:v>
                </c:pt>
                <c:pt idx="5">
                  <c:v>0.73299999999999998</c:v>
                </c:pt>
                <c:pt idx="6">
                  <c:v>3.633</c:v>
                </c:pt>
                <c:pt idx="7">
                  <c:v>95.2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F3-438A-8105-9DEBCCBF71CE}"/>
            </c:ext>
          </c:extLst>
        </c:ser>
        <c:ser>
          <c:idx val="5"/>
          <c:order val="5"/>
          <c:tx>
            <c:strRef>
              <c:f>Graficas!$A$8</c:f>
              <c:strCache>
                <c:ptCount val="1"/>
                <c:pt idx="0">
                  <c:v>Arenosol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Graficas!$B$8:$I$8</c:f>
              <c:numCache>
                <c:formatCode>General</c:formatCode>
                <c:ptCount val="8"/>
                <c:pt idx="0">
                  <c:v>7</c:v>
                </c:pt>
                <c:pt idx="1">
                  <c:v>6.1</c:v>
                </c:pt>
                <c:pt idx="2">
                  <c:v>0.157</c:v>
                </c:pt>
                <c:pt idx="3">
                  <c:v>1.2569999999999999</c:v>
                </c:pt>
                <c:pt idx="4">
                  <c:v>1.214</c:v>
                </c:pt>
                <c:pt idx="5">
                  <c:v>0.71399999999999997</c:v>
                </c:pt>
                <c:pt idx="6">
                  <c:v>8.6430000000000007</c:v>
                </c:pt>
                <c:pt idx="7">
                  <c:v>87.4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38A-8105-9DEBCCBF71CE}"/>
            </c:ext>
          </c:extLst>
        </c:ser>
        <c:ser>
          <c:idx val="6"/>
          <c:order val="6"/>
          <c:tx>
            <c:strRef>
              <c:f>Graficas!$A$9</c:f>
              <c:strCache>
                <c:ptCount val="1"/>
                <c:pt idx="0">
                  <c:v>Regosol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Graficas!$B$9:$I$9</c:f>
              <c:numCache>
                <c:formatCode>General</c:formatCode>
                <c:ptCount val="8"/>
                <c:pt idx="0">
                  <c:v>18</c:v>
                </c:pt>
                <c:pt idx="1">
                  <c:v>0</c:v>
                </c:pt>
                <c:pt idx="2">
                  <c:v>0.47799999999999998</c:v>
                </c:pt>
                <c:pt idx="3">
                  <c:v>0.81699999999999995</c:v>
                </c:pt>
                <c:pt idx="4">
                  <c:v>4.9279999999999999</c:v>
                </c:pt>
                <c:pt idx="5">
                  <c:v>0.86099999999999999</c:v>
                </c:pt>
                <c:pt idx="6">
                  <c:v>4.117</c:v>
                </c:pt>
                <c:pt idx="7">
                  <c:v>77.599999999999994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F3-438A-8105-9DEBCCBF71CE}"/>
            </c:ext>
          </c:extLst>
        </c:ser>
        <c:ser>
          <c:idx val="7"/>
          <c:order val="7"/>
          <c:tx>
            <c:strRef>
              <c:f>Graficas!$A$10</c:f>
              <c:strCache>
                <c:ptCount val="1"/>
                <c:pt idx="0">
                  <c:v>Alisol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Graficas!$B$2:$I$2</c:f>
              <c:strCache>
                <c:ptCount val="8"/>
                <c:pt idx="0">
                  <c:v>n</c:v>
                </c:pt>
                <c:pt idx="1">
                  <c:v>pH</c:v>
                </c:pt>
                <c:pt idx="2">
                  <c:v>CO% (↑N)</c:v>
                </c:pt>
                <c:pt idx="3">
                  <c:v>K cmol/kg</c:v>
                </c:pt>
                <c:pt idx="4">
                  <c:v>Ca cmol/kg</c:v>
                </c:pt>
                <c:pt idx="5">
                  <c:v>Mg cmol/kg</c:v>
                </c:pt>
                <c:pt idx="6">
                  <c:v>P mg/kg</c:v>
                </c:pt>
                <c:pt idx="7">
                  <c:v>Sat.bases%</c:v>
                </c:pt>
              </c:strCache>
            </c:strRef>
          </c:cat>
          <c:val>
            <c:numRef>
              <c:f>Graficas!$B$10:$I$10</c:f>
              <c:numCache>
                <c:formatCode>General</c:formatCode>
                <c:ptCount val="8"/>
                <c:pt idx="0">
                  <c:v>9</c:v>
                </c:pt>
                <c:pt idx="1">
                  <c:v>6.63</c:v>
                </c:pt>
                <c:pt idx="2">
                  <c:v>0.85599999999999998</c:v>
                </c:pt>
                <c:pt idx="3">
                  <c:v>0.25600000000000001</c:v>
                </c:pt>
                <c:pt idx="4">
                  <c:v>3.222</c:v>
                </c:pt>
                <c:pt idx="5">
                  <c:v>2.3780000000000001</c:v>
                </c:pt>
                <c:pt idx="6">
                  <c:v>8.8999999999999996E-2</c:v>
                </c:pt>
                <c:pt idx="7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F3-438A-8105-9DEBCCBF7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628687"/>
        <c:axId val="419634927"/>
      </c:lineChart>
      <c:cat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Propiedades de los suelos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auto val="1"/>
        <c:lblAlgn val="ctr"/>
        <c:lblOffset val="100"/>
        <c:noMultiLvlLbl val="0"/>
      </c:cat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199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Distribucion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Graficas!$A$3</c:f>
              <c:strCache>
                <c:ptCount val="1"/>
                <c:pt idx="0">
                  <c:v>Cambisol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Graficas!$C$3:$I$3</c:f>
              <c:numCache>
                <c:formatCode>General</c:formatCode>
                <c:ptCount val="7"/>
                <c:pt idx="0">
                  <c:v>0</c:v>
                </c:pt>
                <c:pt idx="1">
                  <c:v>1.4330000000000001</c:v>
                </c:pt>
                <c:pt idx="2">
                  <c:v>5.15</c:v>
                </c:pt>
                <c:pt idx="3">
                  <c:v>16.600000000000001</c:v>
                </c:pt>
                <c:pt idx="4">
                  <c:v>2.4</c:v>
                </c:pt>
                <c:pt idx="5">
                  <c:v>33.33</c:v>
                </c:pt>
                <c:pt idx="6">
                  <c:v>88.8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31-473F-B943-A0AE93E5303F}"/>
            </c:ext>
          </c:extLst>
        </c:ser>
        <c:ser>
          <c:idx val="1"/>
          <c:order val="1"/>
          <c:tx>
            <c:strRef>
              <c:f>Graficas!$A$4</c:f>
              <c:strCache>
                <c:ptCount val="1"/>
                <c:pt idx="0">
                  <c:v>Phaeozem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Graficas!$C$4:$I$4</c:f>
              <c:numCache>
                <c:formatCode>General</c:formatCode>
                <c:ptCount val="7"/>
                <c:pt idx="0">
                  <c:v>0</c:v>
                </c:pt>
                <c:pt idx="1">
                  <c:v>1.111</c:v>
                </c:pt>
                <c:pt idx="2">
                  <c:v>0.17799999999999999</c:v>
                </c:pt>
                <c:pt idx="3">
                  <c:v>11.76</c:v>
                </c:pt>
                <c:pt idx="4">
                  <c:v>3.8109999999999999</c:v>
                </c:pt>
                <c:pt idx="5">
                  <c:v>5.6</c:v>
                </c:pt>
                <c:pt idx="6">
                  <c:v>75.2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31-473F-B943-A0AE93E5303F}"/>
            </c:ext>
          </c:extLst>
        </c:ser>
        <c:ser>
          <c:idx val="2"/>
          <c:order val="2"/>
          <c:tx>
            <c:strRef>
              <c:f>Graficas!$A$5</c:f>
              <c:strCache>
                <c:ptCount val="1"/>
                <c:pt idx="0">
                  <c:v>Luvisol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Graficas!$C$5:$I$5</c:f>
              <c:numCache>
                <c:formatCode>General</c:formatCode>
                <c:ptCount val="7"/>
                <c:pt idx="0">
                  <c:v>6.05</c:v>
                </c:pt>
                <c:pt idx="1">
                  <c:v>0.61499999999999999</c:v>
                </c:pt>
                <c:pt idx="2">
                  <c:v>0.41499999999999998</c:v>
                </c:pt>
                <c:pt idx="3">
                  <c:v>5.3380000000000001</c:v>
                </c:pt>
                <c:pt idx="4">
                  <c:v>1.1619999999999999</c:v>
                </c:pt>
                <c:pt idx="5">
                  <c:v>1.615</c:v>
                </c:pt>
                <c:pt idx="6">
                  <c:v>54.4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31-473F-B943-A0AE93E5303F}"/>
            </c:ext>
          </c:extLst>
        </c:ser>
        <c:ser>
          <c:idx val="3"/>
          <c:order val="3"/>
          <c:tx>
            <c:strRef>
              <c:f>Graficas!$A$6</c:f>
              <c:strCache>
                <c:ptCount val="1"/>
                <c:pt idx="0">
                  <c:v>Umbrisol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Graficas!$C$6:$I$6</c:f>
              <c:numCache>
                <c:formatCode>General</c:formatCode>
                <c:ptCount val="7"/>
                <c:pt idx="0">
                  <c:v>6.36</c:v>
                </c:pt>
                <c:pt idx="1">
                  <c:v>1.5</c:v>
                </c:pt>
                <c:pt idx="2">
                  <c:v>1.357</c:v>
                </c:pt>
                <c:pt idx="3">
                  <c:v>3.1709999999999998</c:v>
                </c:pt>
                <c:pt idx="4">
                  <c:v>0.81399999999999995</c:v>
                </c:pt>
                <c:pt idx="5">
                  <c:v>1.9139999999999999</c:v>
                </c:pt>
                <c:pt idx="6">
                  <c:v>26.8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31-473F-B943-A0AE93E5303F}"/>
            </c:ext>
          </c:extLst>
        </c:ser>
        <c:ser>
          <c:idx val="4"/>
          <c:order val="4"/>
          <c:tx>
            <c:strRef>
              <c:f>Graficas!$A$7</c:f>
              <c:strCache>
                <c:ptCount val="1"/>
                <c:pt idx="0">
                  <c:v>Fluvisol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Graficas!$C$7:$I$7</c:f>
              <c:numCache>
                <c:formatCode>General</c:formatCode>
                <c:ptCount val="7"/>
                <c:pt idx="0">
                  <c:v>6.82</c:v>
                </c:pt>
                <c:pt idx="1">
                  <c:v>0.183</c:v>
                </c:pt>
                <c:pt idx="2">
                  <c:v>1.383</c:v>
                </c:pt>
                <c:pt idx="3">
                  <c:v>3.2330000000000001</c:v>
                </c:pt>
                <c:pt idx="4">
                  <c:v>0.73299999999999998</c:v>
                </c:pt>
                <c:pt idx="5">
                  <c:v>3.633</c:v>
                </c:pt>
                <c:pt idx="6">
                  <c:v>95.2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31-473F-B943-A0AE93E5303F}"/>
            </c:ext>
          </c:extLst>
        </c:ser>
        <c:ser>
          <c:idx val="5"/>
          <c:order val="5"/>
          <c:tx>
            <c:strRef>
              <c:f>Graficas!$A$8</c:f>
              <c:strCache>
                <c:ptCount val="1"/>
                <c:pt idx="0">
                  <c:v>Arenosol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Graficas!$C$8:$I$8</c:f>
              <c:numCache>
                <c:formatCode>General</c:formatCode>
                <c:ptCount val="7"/>
                <c:pt idx="0">
                  <c:v>6.1</c:v>
                </c:pt>
                <c:pt idx="1">
                  <c:v>0.157</c:v>
                </c:pt>
                <c:pt idx="2">
                  <c:v>1.2569999999999999</c:v>
                </c:pt>
                <c:pt idx="3">
                  <c:v>1.214</c:v>
                </c:pt>
                <c:pt idx="4">
                  <c:v>0.71399999999999997</c:v>
                </c:pt>
                <c:pt idx="5">
                  <c:v>8.6430000000000007</c:v>
                </c:pt>
                <c:pt idx="6">
                  <c:v>87.4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31-473F-B943-A0AE93E5303F}"/>
            </c:ext>
          </c:extLst>
        </c:ser>
        <c:ser>
          <c:idx val="6"/>
          <c:order val="6"/>
          <c:tx>
            <c:strRef>
              <c:f>Graficas!$A$9</c:f>
              <c:strCache>
                <c:ptCount val="1"/>
                <c:pt idx="0">
                  <c:v>Regosol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Graficas!$C$9:$I$9</c:f>
              <c:numCache>
                <c:formatCode>General</c:formatCode>
                <c:ptCount val="7"/>
                <c:pt idx="0">
                  <c:v>0</c:v>
                </c:pt>
                <c:pt idx="1">
                  <c:v>0.47799999999999998</c:v>
                </c:pt>
                <c:pt idx="2">
                  <c:v>0.81699999999999995</c:v>
                </c:pt>
                <c:pt idx="3">
                  <c:v>4.9279999999999999</c:v>
                </c:pt>
                <c:pt idx="4">
                  <c:v>0.86099999999999999</c:v>
                </c:pt>
                <c:pt idx="5">
                  <c:v>4.117</c:v>
                </c:pt>
                <c:pt idx="6">
                  <c:v>77.599999999999994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31-473F-B943-A0AE93E5303F}"/>
            </c:ext>
          </c:extLst>
        </c:ser>
        <c:ser>
          <c:idx val="7"/>
          <c:order val="7"/>
          <c:tx>
            <c:strRef>
              <c:f>Graficas!$A$10</c:f>
              <c:strCache>
                <c:ptCount val="1"/>
                <c:pt idx="0">
                  <c:v>Alisol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Graficas!$C$10:$I$10</c:f>
              <c:numCache>
                <c:formatCode>General</c:formatCode>
                <c:ptCount val="7"/>
                <c:pt idx="0">
                  <c:v>6.63</c:v>
                </c:pt>
                <c:pt idx="1">
                  <c:v>0.85599999999999998</c:v>
                </c:pt>
                <c:pt idx="2">
                  <c:v>0.25600000000000001</c:v>
                </c:pt>
                <c:pt idx="3">
                  <c:v>3.222</c:v>
                </c:pt>
                <c:pt idx="4">
                  <c:v>2.3780000000000001</c:v>
                </c:pt>
                <c:pt idx="5">
                  <c:v>8.8999999999999996E-2</c:v>
                </c:pt>
                <c:pt idx="6">
                  <c:v>22.3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31-473F-B943-A0AE93E53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Propiedades de los suelos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Graficas!$A$3</c:f>
              <c:strCache>
                <c:ptCount val="1"/>
                <c:pt idx="0">
                  <c:v>Cambisol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719536023823443"/>
                  <c:y val="-2.07319757465892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Graficas!$C$3:$I$3</c:f>
              <c:numCache>
                <c:formatCode>General</c:formatCode>
                <c:ptCount val="7"/>
                <c:pt idx="0">
                  <c:v>0</c:v>
                </c:pt>
                <c:pt idx="1">
                  <c:v>1.4330000000000001</c:v>
                </c:pt>
                <c:pt idx="2">
                  <c:v>5.15</c:v>
                </c:pt>
                <c:pt idx="3">
                  <c:v>16.600000000000001</c:v>
                </c:pt>
                <c:pt idx="4">
                  <c:v>2.4</c:v>
                </c:pt>
                <c:pt idx="5">
                  <c:v>33.33</c:v>
                </c:pt>
                <c:pt idx="6">
                  <c:v>88.8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1-4226-AC03-BC2141C0A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Graficas!$A$4</c:f>
              <c:strCache>
                <c:ptCount val="1"/>
                <c:pt idx="0">
                  <c:v>Phaeozem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1741819772528432"/>
                  <c:y val="1.6408573928258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Graficas!$C$4:$I$4</c:f>
              <c:numCache>
                <c:formatCode>General</c:formatCode>
                <c:ptCount val="7"/>
                <c:pt idx="0">
                  <c:v>0</c:v>
                </c:pt>
                <c:pt idx="1">
                  <c:v>1.111</c:v>
                </c:pt>
                <c:pt idx="2">
                  <c:v>0.17799999999999999</c:v>
                </c:pt>
                <c:pt idx="3">
                  <c:v>11.76</c:v>
                </c:pt>
                <c:pt idx="4">
                  <c:v>3.8109999999999999</c:v>
                </c:pt>
                <c:pt idx="5">
                  <c:v>5.6</c:v>
                </c:pt>
                <c:pt idx="6">
                  <c:v>75.2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2-4611-B9CD-E086A0D2E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Graficas!$A$5</c:f>
              <c:strCache>
                <c:ptCount val="1"/>
                <c:pt idx="0">
                  <c:v>Luvisol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527930883639545"/>
                  <c:y val="6.61012685914260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Graficas!$C$5:$I$5</c:f>
              <c:numCache>
                <c:formatCode>General</c:formatCode>
                <c:ptCount val="7"/>
                <c:pt idx="0">
                  <c:v>6.05</c:v>
                </c:pt>
                <c:pt idx="1">
                  <c:v>0.61499999999999999</c:v>
                </c:pt>
                <c:pt idx="2">
                  <c:v>0.41499999999999998</c:v>
                </c:pt>
                <c:pt idx="3">
                  <c:v>5.3380000000000001</c:v>
                </c:pt>
                <c:pt idx="4">
                  <c:v>1.1619999999999999</c:v>
                </c:pt>
                <c:pt idx="5">
                  <c:v>1.615</c:v>
                </c:pt>
                <c:pt idx="6">
                  <c:v>54.4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5-45AD-9833-871B9043A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Graficas!$A$6</c:f>
              <c:strCache>
                <c:ptCount val="1"/>
                <c:pt idx="0">
                  <c:v>Umbrisol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2201706036745406"/>
                  <c:y val="7.39129483814523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Graficas!$C$6:$I$6</c:f>
              <c:numCache>
                <c:formatCode>General</c:formatCode>
                <c:ptCount val="7"/>
                <c:pt idx="0">
                  <c:v>6.36</c:v>
                </c:pt>
                <c:pt idx="1">
                  <c:v>1.5</c:v>
                </c:pt>
                <c:pt idx="2">
                  <c:v>1.357</c:v>
                </c:pt>
                <c:pt idx="3">
                  <c:v>3.1709999999999998</c:v>
                </c:pt>
                <c:pt idx="4">
                  <c:v>0.81399999999999995</c:v>
                </c:pt>
                <c:pt idx="5">
                  <c:v>1.9139999999999999</c:v>
                </c:pt>
                <c:pt idx="6">
                  <c:v>26.8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C-40CF-8165-F5D0BA2BB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Graficas!$A$7</c:f>
              <c:strCache>
                <c:ptCount val="1"/>
                <c:pt idx="0">
                  <c:v>Fluvisol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8.4711504811898514E-2"/>
                  <c:y val="2.07571449402158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Graficas!$C$7:$I$7</c:f>
              <c:numCache>
                <c:formatCode>General</c:formatCode>
                <c:ptCount val="7"/>
                <c:pt idx="0">
                  <c:v>6.82</c:v>
                </c:pt>
                <c:pt idx="1">
                  <c:v>0.183</c:v>
                </c:pt>
                <c:pt idx="2">
                  <c:v>1.383</c:v>
                </c:pt>
                <c:pt idx="3">
                  <c:v>3.2330000000000001</c:v>
                </c:pt>
                <c:pt idx="4">
                  <c:v>0.73299999999999998</c:v>
                </c:pt>
                <c:pt idx="5">
                  <c:v>3.633</c:v>
                </c:pt>
                <c:pt idx="6">
                  <c:v>95.2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7-484B-9896-2CFED95F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Graficas!$A$8</c:f>
              <c:strCache>
                <c:ptCount val="1"/>
                <c:pt idx="0">
                  <c:v>Arenosol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0701706036745406"/>
                  <c:y val="2.092446777486147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Graficas!$C$8:$I$8</c:f>
              <c:numCache>
                <c:formatCode>General</c:formatCode>
                <c:ptCount val="7"/>
                <c:pt idx="0">
                  <c:v>6.1</c:v>
                </c:pt>
                <c:pt idx="1">
                  <c:v>0.157</c:v>
                </c:pt>
                <c:pt idx="2">
                  <c:v>1.2569999999999999</c:v>
                </c:pt>
                <c:pt idx="3">
                  <c:v>1.214</c:v>
                </c:pt>
                <c:pt idx="4">
                  <c:v>0.71399999999999997</c:v>
                </c:pt>
                <c:pt idx="5">
                  <c:v>8.6430000000000007</c:v>
                </c:pt>
                <c:pt idx="6">
                  <c:v>87.4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F-47B6-BBAE-B1B023DB9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Promedio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 w="9525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Graficas!$A$9</c:f>
              <c:strCache>
                <c:ptCount val="1"/>
                <c:pt idx="0">
                  <c:v>Regosol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3157086614173227"/>
                  <c:y val="8.07720909886264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Graficas!$C$9:$I$9</c:f>
              <c:numCache>
                <c:formatCode>General</c:formatCode>
                <c:ptCount val="7"/>
                <c:pt idx="0">
                  <c:v>0</c:v>
                </c:pt>
                <c:pt idx="1">
                  <c:v>0.47799999999999998</c:v>
                </c:pt>
                <c:pt idx="2">
                  <c:v>0.81699999999999995</c:v>
                </c:pt>
                <c:pt idx="3">
                  <c:v>4.9279999999999999</c:v>
                </c:pt>
                <c:pt idx="4">
                  <c:v>0.86099999999999999</c:v>
                </c:pt>
                <c:pt idx="5">
                  <c:v>4.117</c:v>
                </c:pt>
                <c:pt idx="6">
                  <c:v>77.599999999999994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71-442B-85F9-C19C9BE11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Promedio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Graficas!$A$10</c:f>
              <c:strCache>
                <c:ptCount val="1"/>
                <c:pt idx="0">
                  <c:v>Alisol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312817147856518"/>
                  <c:y val="8.8276465441819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Graficas!$C$10:$I$10</c:f>
              <c:numCache>
                <c:formatCode>General</c:formatCode>
                <c:ptCount val="7"/>
                <c:pt idx="0">
                  <c:v>6.63</c:v>
                </c:pt>
                <c:pt idx="1">
                  <c:v>0.85599999999999998</c:v>
                </c:pt>
                <c:pt idx="2">
                  <c:v>0.25600000000000001</c:v>
                </c:pt>
                <c:pt idx="3">
                  <c:v>3.222</c:v>
                </c:pt>
                <c:pt idx="4">
                  <c:v>2.3780000000000001</c:v>
                </c:pt>
                <c:pt idx="5">
                  <c:v>8.8999999999999996E-2</c:v>
                </c:pt>
                <c:pt idx="6">
                  <c:v>22.3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C6-4C6F-8ADC-15DEEE14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Promedio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Graficas!$A$3</c:f>
              <c:strCache>
                <c:ptCount val="1"/>
                <c:pt idx="0">
                  <c:v>Cambisol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065898113068457"/>
                  <c:y val="-1.30064336887671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Graficas!$C$3:$I$3</c:f>
              <c:numCache>
                <c:formatCode>General</c:formatCode>
                <c:ptCount val="7"/>
                <c:pt idx="0">
                  <c:v>0</c:v>
                </c:pt>
                <c:pt idx="1">
                  <c:v>1.4330000000000001</c:v>
                </c:pt>
                <c:pt idx="2">
                  <c:v>5.15</c:v>
                </c:pt>
                <c:pt idx="3">
                  <c:v>16.600000000000001</c:v>
                </c:pt>
                <c:pt idx="4">
                  <c:v>2.4</c:v>
                </c:pt>
                <c:pt idx="5">
                  <c:v>33.33</c:v>
                </c:pt>
                <c:pt idx="6">
                  <c:v>88.8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EA-4CBA-810C-0723136DF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Graficas!$A$5</c:f>
              <c:strCache>
                <c:ptCount val="1"/>
                <c:pt idx="0">
                  <c:v>Luvisol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867248250096337"/>
                  <c:y val="-0.156099635744977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Graficas!$C$5:$I$5</c:f>
              <c:numCache>
                <c:formatCode>General</c:formatCode>
                <c:ptCount val="7"/>
                <c:pt idx="0">
                  <c:v>6.05</c:v>
                </c:pt>
                <c:pt idx="1">
                  <c:v>0.61499999999999999</c:v>
                </c:pt>
                <c:pt idx="2">
                  <c:v>0.41499999999999998</c:v>
                </c:pt>
                <c:pt idx="3">
                  <c:v>5.3380000000000001</c:v>
                </c:pt>
                <c:pt idx="4">
                  <c:v>1.1619999999999999</c:v>
                </c:pt>
                <c:pt idx="5">
                  <c:v>1.615</c:v>
                </c:pt>
                <c:pt idx="6">
                  <c:v>54.4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AB-4D06-8481-F4474C4E3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Graficas!$A$10</c:f>
              <c:strCache>
                <c:ptCount val="1"/>
                <c:pt idx="0">
                  <c:v>Alisol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467104377846062"/>
                  <c:y val="-0.105635807018946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Graficas!$C$2:$I$2</c:f>
              <c:strCache>
                <c:ptCount val="7"/>
                <c:pt idx="0">
                  <c:v>pH</c:v>
                </c:pt>
                <c:pt idx="1">
                  <c:v>CO% (↑N)</c:v>
                </c:pt>
                <c:pt idx="2">
                  <c:v>K cmol/kg</c:v>
                </c:pt>
                <c:pt idx="3">
                  <c:v>Ca cmol/kg</c:v>
                </c:pt>
                <c:pt idx="4">
                  <c:v>Mg cmol/kg</c:v>
                </c:pt>
                <c:pt idx="5">
                  <c:v>P mg/kg</c:v>
                </c:pt>
                <c:pt idx="6">
                  <c:v>Sat.bases%</c:v>
                </c:pt>
              </c:strCache>
            </c:strRef>
          </c:xVal>
          <c:yVal>
            <c:numRef>
              <c:f>Graficas!$C$10:$I$10</c:f>
              <c:numCache>
                <c:formatCode>General</c:formatCode>
                <c:ptCount val="7"/>
                <c:pt idx="0">
                  <c:v>6.63</c:v>
                </c:pt>
                <c:pt idx="1">
                  <c:v>0.85599999999999998</c:v>
                </c:pt>
                <c:pt idx="2">
                  <c:v>0.25600000000000001</c:v>
                </c:pt>
                <c:pt idx="3">
                  <c:v>3.222</c:v>
                </c:pt>
                <c:pt idx="4">
                  <c:v>2.3780000000000001</c:v>
                </c:pt>
                <c:pt idx="5">
                  <c:v>8.8999999999999996E-2</c:v>
                </c:pt>
                <c:pt idx="6">
                  <c:v>22.3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CC-4FF4-9196-17F915A39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28687"/>
        <c:axId val="419634927"/>
      </c:scatterChart>
      <c:valAx>
        <c:axId val="41962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Propiedades del suelo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34927"/>
        <c:crosses val="autoZero"/>
        <c:crossBetween val="midCat"/>
      </c:valAx>
      <c:valAx>
        <c:axId val="4196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Promedio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62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12</xdr:row>
      <xdr:rowOff>38100</xdr:rowOff>
    </xdr:from>
    <xdr:to>
      <xdr:col>12</xdr:col>
      <xdr:colOff>220980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4CF3C5-2CB6-75D4-1B76-D790C2B60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396240</xdr:colOff>
      <xdr:row>12</xdr:row>
      <xdr:rowOff>0</xdr:rowOff>
    </xdr:from>
    <xdr:to>
      <xdr:col>6</xdr:col>
      <xdr:colOff>213360</xdr:colOff>
      <xdr:row>27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B36B03-5062-484C-B956-E116FB0D7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388620</xdr:colOff>
      <xdr:row>27</xdr:row>
      <xdr:rowOff>83820</xdr:rowOff>
    </xdr:from>
    <xdr:to>
      <xdr:col>6</xdr:col>
      <xdr:colOff>205740</xdr:colOff>
      <xdr:row>42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03E5DA-DC30-4874-977B-2147478E1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281940</xdr:colOff>
      <xdr:row>27</xdr:row>
      <xdr:rowOff>83820</xdr:rowOff>
    </xdr:from>
    <xdr:to>
      <xdr:col>12</xdr:col>
      <xdr:colOff>99060</xdr:colOff>
      <xdr:row>42</xdr:row>
      <xdr:rowOff>83820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FD14A1-3E31-44DB-9189-6B246EADA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388620</xdr:colOff>
      <xdr:row>43</xdr:row>
      <xdr:rowOff>0</xdr:rowOff>
    </xdr:from>
    <xdr:to>
      <xdr:col>6</xdr:col>
      <xdr:colOff>190500</xdr:colOff>
      <xdr:row>57</xdr:row>
      <xdr:rowOff>160020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564DE1A-2C63-4309-A6A6-BA0198A99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297180</xdr:colOff>
      <xdr:row>42</xdr:row>
      <xdr:rowOff>167640</xdr:rowOff>
    </xdr:from>
    <xdr:to>
      <xdr:col>12</xdr:col>
      <xdr:colOff>114300</xdr:colOff>
      <xdr:row>57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A738907-E839-40A1-8D1B-80C71E0A6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396240</xdr:colOff>
      <xdr:row>58</xdr:row>
      <xdr:rowOff>152400</xdr:rowOff>
    </xdr:from>
    <xdr:to>
      <xdr:col>6</xdr:col>
      <xdr:colOff>213360</xdr:colOff>
      <xdr:row>73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3E62767-B736-4F91-BB73-2A1ABF198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312420</xdr:colOff>
      <xdr:row>58</xdr:row>
      <xdr:rowOff>160020</xdr:rowOff>
    </xdr:from>
    <xdr:to>
      <xdr:col>12</xdr:col>
      <xdr:colOff>129540</xdr:colOff>
      <xdr:row>73</xdr:row>
      <xdr:rowOff>160020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9FD128D-C3D8-47C0-87F0-16666CC56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388620</xdr:colOff>
      <xdr:row>74</xdr:row>
      <xdr:rowOff>114300</xdr:rowOff>
    </xdr:from>
    <xdr:to>
      <xdr:col>6</xdr:col>
      <xdr:colOff>205740</xdr:colOff>
      <xdr:row>89</xdr:row>
      <xdr:rowOff>114300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A5DCFF6-D055-47C1-A76E-3C0004AE7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304800</xdr:colOff>
      <xdr:row>74</xdr:row>
      <xdr:rowOff>114300</xdr:rowOff>
    </xdr:from>
    <xdr:to>
      <xdr:col>12</xdr:col>
      <xdr:colOff>121920</xdr:colOff>
      <xdr:row>89</xdr:row>
      <xdr:rowOff>114300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C4FC0DF-F90F-458E-A41D-48373855A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762000</xdr:colOff>
      <xdr:row>27</xdr:row>
      <xdr:rowOff>130628</xdr:rowOff>
    </xdr:from>
    <xdr:to>
      <xdr:col>18</xdr:col>
      <xdr:colOff>579120</xdr:colOff>
      <xdr:row>42</xdr:row>
      <xdr:rowOff>130628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C82150-6053-4161-A89D-05EEC0C8D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32657</xdr:colOff>
      <xdr:row>44</xdr:row>
      <xdr:rowOff>43543</xdr:rowOff>
    </xdr:from>
    <xdr:to>
      <xdr:col>18</xdr:col>
      <xdr:colOff>629194</xdr:colOff>
      <xdr:row>59</xdr:row>
      <xdr:rowOff>18506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4FB265E-F913-4891-98E4-37304CD6A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348342</xdr:colOff>
      <xdr:row>74</xdr:row>
      <xdr:rowOff>119743</xdr:rowOff>
    </xdr:from>
    <xdr:to>
      <xdr:col>18</xdr:col>
      <xdr:colOff>165462</xdr:colOff>
      <xdr:row>89</xdr:row>
      <xdr:rowOff>119743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F8504F5-166C-47F8-9A00-A2D6AC3F9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5227-4EF5-4518-94F0-22537C525F17}">
  <dimension ref="A1:Q76"/>
  <sheetViews>
    <sheetView topLeftCell="A22" workbookViewId="0"/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32795</v>
      </c>
      <c r="C2" t="s">
        <v>18</v>
      </c>
      <c r="D2" t="s">
        <v>19</v>
      </c>
      <c r="E2">
        <v>100</v>
      </c>
      <c r="F2">
        <v>1000</v>
      </c>
      <c r="G2">
        <v>26</v>
      </c>
      <c r="H2" t="s">
        <v>20</v>
      </c>
      <c r="I2">
        <v>5.8</v>
      </c>
      <c r="J2">
        <v>0.3</v>
      </c>
      <c r="K2">
        <v>100</v>
      </c>
      <c r="L2">
        <v>0</v>
      </c>
      <c r="M2">
        <v>0.4</v>
      </c>
      <c r="N2">
        <v>5.6</v>
      </c>
      <c r="O2">
        <v>0</v>
      </c>
      <c r="P2">
        <v>1.5</v>
      </c>
      <c r="Q2">
        <v>6.4</v>
      </c>
    </row>
    <row r="3" spans="1:17" x14ac:dyDescent="0.3">
      <c r="A3" t="s">
        <v>21</v>
      </c>
      <c r="B3" s="1">
        <v>31694</v>
      </c>
      <c r="C3" t="s">
        <v>22</v>
      </c>
      <c r="D3" t="s">
        <v>23</v>
      </c>
      <c r="E3">
        <v>700</v>
      </c>
      <c r="F3">
        <v>2500</v>
      </c>
      <c r="G3">
        <v>24</v>
      </c>
      <c r="H3" t="s">
        <v>24</v>
      </c>
      <c r="I3">
        <v>6</v>
      </c>
      <c r="J3">
        <v>4.0999999999999996</v>
      </c>
      <c r="K3">
        <v>79.400000000000006</v>
      </c>
      <c r="L3">
        <v>0.4</v>
      </c>
      <c r="M3">
        <v>0.4</v>
      </c>
      <c r="N3">
        <v>14.7</v>
      </c>
      <c r="O3">
        <v>0.1</v>
      </c>
      <c r="P3">
        <v>2.9</v>
      </c>
      <c r="Q3">
        <v>5</v>
      </c>
    </row>
    <row r="4" spans="1:17" x14ac:dyDescent="0.3">
      <c r="A4" t="s">
        <v>21</v>
      </c>
      <c r="B4" s="1">
        <v>31694</v>
      </c>
      <c r="C4" t="s">
        <v>22</v>
      </c>
      <c r="D4" t="s">
        <v>23</v>
      </c>
      <c r="E4">
        <v>700</v>
      </c>
      <c r="F4">
        <v>2500</v>
      </c>
      <c r="G4">
        <v>24</v>
      </c>
      <c r="H4" t="s">
        <v>24</v>
      </c>
      <c r="I4">
        <v>6.1</v>
      </c>
      <c r="J4">
        <v>1.3</v>
      </c>
      <c r="K4">
        <v>79.400000000000006</v>
      </c>
      <c r="L4">
        <v>0</v>
      </c>
      <c r="M4">
        <v>0.1</v>
      </c>
      <c r="N4">
        <v>11.6</v>
      </c>
      <c r="O4">
        <v>0</v>
      </c>
      <c r="P4">
        <v>2.2000000000000002</v>
      </c>
      <c r="Q4">
        <v>2.1</v>
      </c>
    </row>
    <row r="5" spans="1:17" x14ac:dyDescent="0.3">
      <c r="A5" t="s">
        <v>21</v>
      </c>
      <c r="B5" s="1">
        <v>31694</v>
      </c>
      <c r="C5" t="s">
        <v>22</v>
      </c>
      <c r="D5" t="s">
        <v>23</v>
      </c>
      <c r="E5">
        <v>700</v>
      </c>
      <c r="F5">
        <v>2500</v>
      </c>
      <c r="G5">
        <v>24</v>
      </c>
      <c r="H5" t="s">
        <v>24</v>
      </c>
      <c r="I5">
        <v>6.5</v>
      </c>
      <c r="J5">
        <v>0.7</v>
      </c>
      <c r="K5">
        <v>70</v>
      </c>
      <c r="L5">
        <v>0</v>
      </c>
      <c r="M5">
        <v>0.1</v>
      </c>
      <c r="N5">
        <v>8.4</v>
      </c>
      <c r="O5">
        <v>0</v>
      </c>
      <c r="P5">
        <v>2</v>
      </c>
      <c r="Q5">
        <v>2.5</v>
      </c>
    </row>
    <row r="6" spans="1:17" x14ac:dyDescent="0.3">
      <c r="A6" t="s">
        <v>21</v>
      </c>
      <c r="B6" s="1">
        <v>31694</v>
      </c>
      <c r="C6" t="s">
        <v>22</v>
      </c>
      <c r="D6" t="s">
        <v>23</v>
      </c>
      <c r="E6">
        <v>700</v>
      </c>
      <c r="F6">
        <v>2500</v>
      </c>
      <c r="G6">
        <v>24</v>
      </c>
      <c r="H6" t="s">
        <v>24</v>
      </c>
      <c r="I6">
        <v>6.5</v>
      </c>
      <c r="J6">
        <v>0.3</v>
      </c>
      <c r="K6">
        <v>76.599999999999994</v>
      </c>
      <c r="L6">
        <v>0</v>
      </c>
      <c r="M6">
        <v>0.1</v>
      </c>
      <c r="N6">
        <v>9.4</v>
      </c>
      <c r="O6">
        <v>0</v>
      </c>
      <c r="P6">
        <v>1.6</v>
      </c>
      <c r="Q6">
        <v>0</v>
      </c>
    </row>
    <row r="7" spans="1:17" x14ac:dyDescent="0.3">
      <c r="A7" t="s">
        <v>21</v>
      </c>
      <c r="B7" s="1">
        <v>31694</v>
      </c>
      <c r="C7" t="s">
        <v>22</v>
      </c>
      <c r="D7" t="s">
        <v>23</v>
      </c>
      <c r="E7">
        <v>700</v>
      </c>
      <c r="F7">
        <v>2500</v>
      </c>
      <c r="G7">
        <v>24</v>
      </c>
      <c r="H7" t="s">
        <v>24</v>
      </c>
      <c r="I7">
        <v>6.6</v>
      </c>
      <c r="J7">
        <v>0.2</v>
      </c>
      <c r="K7">
        <v>39.9</v>
      </c>
      <c r="L7">
        <v>0</v>
      </c>
      <c r="M7">
        <v>0</v>
      </c>
      <c r="N7">
        <v>5.4</v>
      </c>
      <c r="O7">
        <v>0</v>
      </c>
      <c r="P7">
        <v>2.1</v>
      </c>
      <c r="Q7">
        <v>0</v>
      </c>
    </row>
    <row r="8" spans="1:17" x14ac:dyDescent="0.3">
      <c r="A8" t="s">
        <v>25</v>
      </c>
      <c r="B8" s="1">
        <v>31696</v>
      </c>
      <c r="C8" t="s">
        <v>26</v>
      </c>
      <c r="D8" t="s">
        <v>27</v>
      </c>
      <c r="E8">
        <v>250</v>
      </c>
      <c r="F8">
        <v>1200</v>
      </c>
      <c r="G8">
        <v>26</v>
      </c>
      <c r="H8" t="s">
        <v>20</v>
      </c>
      <c r="I8">
        <v>6</v>
      </c>
      <c r="J8">
        <v>2</v>
      </c>
      <c r="K8">
        <v>53</v>
      </c>
      <c r="L8">
        <v>0</v>
      </c>
      <c r="M8">
        <v>0.3</v>
      </c>
      <c r="N8">
        <v>9.4</v>
      </c>
      <c r="O8">
        <v>0</v>
      </c>
      <c r="P8">
        <v>2.5</v>
      </c>
      <c r="Q8">
        <v>2.7</v>
      </c>
    </row>
    <row r="9" spans="1:17" x14ac:dyDescent="0.3">
      <c r="A9" t="s">
        <v>25</v>
      </c>
      <c r="B9" s="1">
        <v>31696</v>
      </c>
      <c r="C9" t="s">
        <v>26</v>
      </c>
      <c r="D9" t="s">
        <v>27</v>
      </c>
      <c r="E9">
        <v>250</v>
      </c>
      <c r="F9">
        <v>1200</v>
      </c>
      <c r="G9">
        <v>26</v>
      </c>
      <c r="H9" t="s">
        <v>20</v>
      </c>
      <c r="I9">
        <v>5.9</v>
      </c>
      <c r="J9">
        <v>1.3</v>
      </c>
      <c r="K9">
        <v>61.7</v>
      </c>
      <c r="L9">
        <v>0</v>
      </c>
      <c r="M9">
        <v>0.1</v>
      </c>
      <c r="N9">
        <v>9.6999999999999993</v>
      </c>
      <c r="O9">
        <v>0</v>
      </c>
      <c r="P9">
        <v>1.8</v>
      </c>
      <c r="Q9">
        <v>2.1</v>
      </c>
    </row>
    <row r="10" spans="1:17" x14ac:dyDescent="0.3">
      <c r="A10" t="s">
        <v>25</v>
      </c>
      <c r="B10" s="1">
        <v>31696</v>
      </c>
      <c r="C10" t="s">
        <v>26</v>
      </c>
      <c r="D10" t="s">
        <v>27</v>
      </c>
      <c r="E10">
        <v>250</v>
      </c>
      <c r="F10">
        <v>1200</v>
      </c>
      <c r="G10">
        <v>26</v>
      </c>
      <c r="H10" t="s">
        <v>20</v>
      </c>
      <c r="I10">
        <v>5.9</v>
      </c>
      <c r="J10">
        <v>0.8</v>
      </c>
      <c r="K10">
        <v>53</v>
      </c>
      <c r="L10">
        <v>0.5</v>
      </c>
      <c r="M10">
        <v>0</v>
      </c>
      <c r="N10">
        <v>9.4</v>
      </c>
      <c r="O10">
        <v>0.1</v>
      </c>
      <c r="P10">
        <v>1.9</v>
      </c>
      <c r="Q10">
        <v>2.7</v>
      </c>
    </row>
    <row r="11" spans="1:17" x14ac:dyDescent="0.3">
      <c r="A11" t="s">
        <v>25</v>
      </c>
      <c r="B11" s="1">
        <v>31696</v>
      </c>
      <c r="C11" t="s">
        <v>26</v>
      </c>
      <c r="D11" t="s">
        <v>27</v>
      </c>
      <c r="E11">
        <v>250</v>
      </c>
      <c r="F11">
        <v>1200</v>
      </c>
      <c r="G11">
        <v>26</v>
      </c>
      <c r="H11" t="s">
        <v>20</v>
      </c>
      <c r="I11">
        <v>5.7</v>
      </c>
      <c r="J11">
        <v>0.3</v>
      </c>
      <c r="K11">
        <v>46.5</v>
      </c>
      <c r="L11">
        <v>0</v>
      </c>
      <c r="M11">
        <v>0</v>
      </c>
      <c r="N11">
        <v>6.6</v>
      </c>
      <c r="O11">
        <v>0</v>
      </c>
      <c r="P11">
        <v>2.6</v>
      </c>
      <c r="Q11">
        <v>2.4</v>
      </c>
    </row>
    <row r="12" spans="1:17" x14ac:dyDescent="0.3">
      <c r="A12" t="s">
        <v>25</v>
      </c>
      <c r="B12" s="1">
        <v>31696</v>
      </c>
      <c r="C12" t="s">
        <v>26</v>
      </c>
      <c r="D12" t="s">
        <v>27</v>
      </c>
      <c r="E12">
        <v>250</v>
      </c>
      <c r="F12">
        <v>1200</v>
      </c>
      <c r="G12">
        <v>26</v>
      </c>
      <c r="H12" t="s">
        <v>20</v>
      </c>
      <c r="I12">
        <v>5.5</v>
      </c>
      <c r="J12">
        <v>0.2</v>
      </c>
      <c r="K12">
        <v>54.3</v>
      </c>
      <c r="L12">
        <v>0.6</v>
      </c>
      <c r="M12">
        <v>0.2</v>
      </c>
      <c r="N12">
        <v>6.3</v>
      </c>
      <c r="O12">
        <v>0.1</v>
      </c>
      <c r="P12">
        <v>2.8</v>
      </c>
      <c r="Q12">
        <v>0</v>
      </c>
    </row>
    <row r="13" spans="1:17" x14ac:dyDescent="0.3">
      <c r="A13" t="s">
        <v>28</v>
      </c>
      <c r="B13" s="1">
        <v>31693</v>
      </c>
      <c r="C13" t="s">
        <v>29</v>
      </c>
      <c r="D13" t="s">
        <v>19</v>
      </c>
      <c r="E13">
        <v>100</v>
      </c>
      <c r="F13">
        <v>800</v>
      </c>
      <c r="G13">
        <v>26</v>
      </c>
      <c r="H13" t="s">
        <v>20</v>
      </c>
      <c r="I13">
        <v>6.2</v>
      </c>
      <c r="J13">
        <v>1.8</v>
      </c>
      <c r="K13">
        <v>77</v>
      </c>
      <c r="L13">
        <v>0</v>
      </c>
      <c r="M13">
        <v>0.2</v>
      </c>
      <c r="N13">
        <v>6.3</v>
      </c>
      <c r="O13">
        <v>0</v>
      </c>
      <c r="P13">
        <v>1.2</v>
      </c>
      <c r="Q13">
        <v>4.0999999999999996</v>
      </c>
    </row>
    <row r="14" spans="1:17" x14ac:dyDescent="0.3">
      <c r="A14" t="s">
        <v>28</v>
      </c>
      <c r="B14" s="1">
        <v>31693</v>
      </c>
      <c r="C14" t="s">
        <v>29</v>
      </c>
      <c r="D14" t="s">
        <v>19</v>
      </c>
      <c r="E14">
        <v>100</v>
      </c>
      <c r="F14">
        <v>800</v>
      </c>
      <c r="G14">
        <v>26</v>
      </c>
      <c r="H14" t="s">
        <v>20</v>
      </c>
      <c r="I14">
        <v>5.4</v>
      </c>
      <c r="J14">
        <v>0.2</v>
      </c>
      <c r="K14">
        <v>69.2</v>
      </c>
      <c r="L14">
        <v>0</v>
      </c>
      <c r="M14">
        <v>0.1</v>
      </c>
      <c r="N14">
        <v>3.4</v>
      </c>
      <c r="O14">
        <v>0</v>
      </c>
      <c r="P14">
        <v>1</v>
      </c>
      <c r="Q14">
        <v>2.7</v>
      </c>
    </row>
    <row r="15" spans="1:17" x14ac:dyDescent="0.3">
      <c r="A15" t="s">
        <v>30</v>
      </c>
      <c r="B15" s="1">
        <v>31697</v>
      </c>
      <c r="C15" t="s">
        <v>31</v>
      </c>
      <c r="D15" t="s">
        <v>19</v>
      </c>
      <c r="E15">
        <v>100</v>
      </c>
      <c r="F15">
        <v>1000</v>
      </c>
      <c r="G15">
        <v>26</v>
      </c>
      <c r="H15" t="s">
        <v>24</v>
      </c>
      <c r="I15">
        <v>5.5</v>
      </c>
      <c r="J15">
        <v>1</v>
      </c>
      <c r="K15">
        <v>96.8</v>
      </c>
      <c r="L15">
        <v>1.6</v>
      </c>
      <c r="M15">
        <v>0.2</v>
      </c>
      <c r="N15">
        <v>5.3</v>
      </c>
      <c r="O15">
        <v>0.1</v>
      </c>
      <c r="P15">
        <v>0.5</v>
      </c>
      <c r="Q15">
        <v>4.0999999999999996</v>
      </c>
    </row>
    <row r="16" spans="1:17" x14ac:dyDescent="0.3">
      <c r="A16" t="s">
        <v>32</v>
      </c>
      <c r="B16" s="1">
        <v>31695</v>
      </c>
      <c r="C16" t="s">
        <v>33</v>
      </c>
      <c r="D16" t="s">
        <v>19</v>
      </c>
      <c r="E16">
        <v>150</v>
      </c>
      <c r="F16">
        <v>1000</v>
      </c>
      <c r="G16">
        <v>26</v>
      </c>
      <c r="H16" t="s">
        <v>20</v>
      </c>
      <c r="I16">
        <v>5.8</v>
      </c>
      <c r="J16">
        <v>0.6</v>
      </c>
      <c r="K16">
        <v>76.2</v>
      </c>
      <c r="L16">
        <v>0.7</v>
      </c>
      <c r="M16">
        <v>0.1</v>
      </c>
      <c r="N16">
        <v>9.1</v>
      </c>
      <c r="O16">
        <v>0.1</v>
      </c>
      <c r="P16">
        <v>1.6</v>
      </c>
      <c r="Q16">
        <v>1.4</v>
      </c>
    </row>
    <row r="17" spans="1:17" x14ac:dyDescent="0.3">
      <c r="A17" t="s">
        <v>32</v>
      </c>
      <c r="B17" s="1">
        <v>31695</v>
      </c>
      <c r="C17" t="s">
        <v>33</v>
      </c>
      <c r="D17" t="s">
        <v>19</v>
      </c>
      <c r="E17">
        <v>150</v>
      </c>
      <c r="F17">
        <v>1000</v>
      </c>
      <c r="G17">
        <v>26</v>
      </c>
      <c r="H17" t="s">
        <v>20</v>
      </c>
      <c r="I17">
        <v>6.2</v>
      </c>
      <c r="J17">
        <v>0.2</v>
      </c>
      <c r="K17">
        <v>72.2</v>
      </c>
      <c r="L17">
        <v>0.8</v>
      </c>
      <c r="M17">
        <v>0.1</v>
      </c>
      <c r="N17">
        <v>8.3000000000000007</v>
      </c>
      <c r="O17">
        <v>0.1</v>
      </c>
      <c r="P17">
        <v>1.1000000000000001</v>
      </c>
      <c r="Q17">
        <v>1.8</v>
      </c>
    </row>
    <row r="18" spans="1:17" x14ac:dyDescent="0.3">
      <c r="A18" t="s">
        <v>32</v>
      </c>
      <c r="B18" s="1">
        <v>31695</v>
      </c>
      <c r="C18" t="s">
        <v>33</v>
      </c>
      <c r="D18" t="s">
        <v>19</v>
      </c>
      <c r="E18">
        <v>150</v>
      </c>
      <c r="F18">
        <v>1000</v>
      </c>
      <c r="G18">
        <v>26</v>
      </c>
      <c r="H18" t="s">
        <v>20</v>
      </c>
      <c r="I18">
        <v>6.6</v>
      </c>
      <c r="J18">
        <v>0.1</v>
      </c>
      <c r="K18">
        <v>70.3</v>
      </c>
      <c r="L18">
        <v>0.8</v>
      </c>
      <c r="M18">
        <v>0.1</v>
      </c>
      <c r="N18">
        <v>8</v>
      </c>
      <c r="O18">
        <v>0.1</v>
      </c>
      <c r="P18">
        <v>0.8</v>
      </c>
      <c r="Q18">
        <v>0</v>
      </c>
    </row>
    <row r="19" spans="1:17" x14ac:dyDescent="0.3">
      <c r="A19" t="s">
        <v>34</v>
      </c>
      <c r="B19" s="1">
        <v>31698</v>
      </c>
      <c r="C19" t="s">
        <v>35</v>
      </c>
      <c r="D19" t="s">
        <v>23</v>
      </c>
      <c r="E19">
        <v>1</v>
      </c>
      <c r="F19">
        <v>1000</v>
      </c>
      <c r="G19">
        <v>26</v>
      </c>
      <c r="H19" t="s">
        <v>36</v>
      </c>
      <c r="I19">
        <v>8.3000000000000007</v>
      </c>
      <c r="J19">
        <v>2</v>
      </c>
      <c r="K19">
        <v>100</v>
      </c>
      <c r="L19">
        <v>5.8</v>
      </c>
      <c r="M19">
        <v>0.3</v>
      </c>
      <c r="N19">
        <v>17.8</v>
      </c>
      <c r="O19">
        <v>1.3</v>
      </c>
      <c r="P19">
        <v>5</v>
      </c>
      <c r="Q19">
        <v>28.5</v>
      </c>
    </row>
    <row r="20" spans="1:17" x14ac:dyDescent="0.3">
      <c r="A20" t="s">
        <v>34</v>
      </c>
      <c r="B20" s="1">
        <v>31698</v>
      </c>
      <c r="C20" t="s">
        <v>35</v>
      </c>
      <c r="D20" t="s">
        <v>23</v>
      </c>
      <c r="E20">
        <v>1</v>
      </c>
      <c r="F20">
        <v>1000</v>
      </c>
      <c r="G20">
        <v>26</v>
      </c>
      <c r="H20" t="s">
        <v>36</v>
      </c>
      <c r="I20">
        <v>7.9</v>
      </c>
      <c r="J20">
        <v>0.6</v>
      </c>
      <c r="K20">
        <v>60.4</v>
      </c>
      <c r="L20">
        <v>4.0999999999999996</v>
      </c>
      <c r="M20">
        <v>0.1</v>
      </c>
      <c r="N20">
        <v>10</v>
      </c>
      <c r="O20">
        <v>1.1000000000000001</v>
      </c>
      <c r="P20">
        <v>5</v>
      </c>
      <c r="Q20">
        <v>12.3</v>
      </c>
    </row>
    <row r="21" spans="1:17" x14ac:dyDescent="0.3">
      <c r="A21" t="s">
        <v>34</v>
      </c>
      <c r="B21" s="1">
        <v>31698</v>
      </c>
      <c r="C21" t="s">
        <v>35</v>
      </c>
      <c r="D21" t="s">
        <v>23</v>
      </c>
      <c r="E21">
        <v>1</v>
      </c>
      <c r="F21">
        <v>1000</v>
      </c>
      <c r="G21">
        <v>26</v>
      </c>
      <c r="H21" t="s">
        <v>36</v>
      </c>
      <c r="I21">
        <v>7.5</v>
      </c>
      <c r="J21">
        <v>0.7</v>
      </c>
      <c r="K21">
        <v>71.5</v>
      </c>
      <c r="L21">
        <v>1.8</v>
      </c>
      <c r="M21">
        <v>0.1</v>
      </c>
      <c r="N21">
        <v>14.4</v>
      </c>
      <c r="O21">
        <v>0.6</v>
      </c>
      <c r="P21">
        <v>8.5</v>
      </c>
      <c r="Q21">
        <v>0</v>
      </c>
    </row>
    <row r="22" spans="1:17" x14ac:dyDescent="0.3">
      <c r="A22" t="s">
        <v>34</v>
      </c>
      <c r="B22" s="1">
        <v>31698</v>
      </c>
      <c r="C22" t="s">
        <v>35</v>
      </c>
      <c r="D22" t="s">
        <v>23</v>
      </c>
      <c r="E22">
        <v>1</v>
      </c>
      <c r="F22">
        <v>1000</v>
      </c>
      <c r="G22">
        <v>26</v>
      </c>
      <c r="H22" t="s">
        <v>36</v>
      </c>
      <c r="I22">
        <v>7.7</v>
      </c>
      <c r="J22">
        <v>0.1</v>
      </c>
      <c r="K22">
        <v>100</v>
      </c>
      <c r="L22">
        <v>1</v>
      </c>
      <c r="M22">
        <v>0.4</v>
      </c>
      <c r="N22">
        <v>14.1</v>
      </c>
      <c r="O22">
        <v>0.2</v>
      </c>
      <c r="P22">
        <v>5</v>
      </c>
      <c r="Q22">
        <v>0</v>
      </c>
    </row>
    <row r="23" spans="1:17" x14ac:dyDescent="0.3">
      <c r="A23" t="s">
        <v>37</v>
      </c>
      <c r="B23" s="1">
        <v>38279</v>
      </c>
      <c r="C23" t="s">
        <v>38</v>
      </c>
      <c r="D23" t="s">
        <v>39</v>
      </c>
      <c r="E23">
        <v>1250</v>
      </c>
      <c r="F23">
        <v>3000</v>
      </c>
      <c r="G23">
        <v>20</v>
      </c>
      <c r="H23" t="s">
        <v>40</v>
      </c>
      <c r="I23">
        <v>7.3</v>
      </c>
      <c r="J23">
        <v>3</v>
      </c>
      <c r="K23">
        <v>36.299999999999997</v>
      </c>
      <c r="L23">
        <v>0.3</v>
      </c>
      <c r="M23">
        <v>1.9</v>
      </c>
      <c r="N23">
        <v>7.7</v>
      </c>
      <c r="O23">
        <v>0.1</v>
      </c>
      <c r="P23">
        <v>1.1000000000000001</v>
      </c>
      <c r="Q23">
        <v>6.9</v>
      </c>
    </row>
    <row r="24" spans="1:17" x14ac:dyDescent="0.3">
      <c r="A24" t="s">
        <v>37</v>
      </c>
      <c r="B24" s="1">
        <v>38279</v>
      </c>
      <c r="C24" t="s">
        <v>38</v>
      </c>
      <c r="D24" t="s">
        <v>39</v>
      </c>
      <c r="E24">
        <v>1250</v>
      </c>
      <c r="F24">
        <v>3000</v>
      </c>
      <c r="G24">
        <v>20</v>
      </c>
      <c r="H24" t="s">
        <v>40</v>
      </c>
      <c r="I24">
        <v>7.1</v>
      </c>
      <c r="J24">
        <v>1.5</v>
      </c>
      <c r="K24">
        <v>23.9</v>
      </c>
      <c r="L24">
        <v>0.5</v>
      </c>
      <c r="M24">
        <v>0.5</v>
      </c>
      <c r="N24">
        <v>3.8</v>
      </c>
      <c r="O24">
        <v>0.1</v>
      </c>
      <c r="P24">
        <v>0.7</v>
      </c>
      <c r="Q24">
        <v>0</v>
      </c>
    </row>
    <row r="25" spans="1:17" x14ac:dyDescent="0.3">
      <c r="A25" t="s">
        <v>37</v>
      </c>
      <c r="B25" s="1">
        <v>38279</v>
      </c>
      <c r="C25" t="s">
        <v>38</v>
      </c>
      <c r="D25" t="s">
        <v>39</v>
      </c>
      <c r="E25">
        <v>1250</v>
      </c>
      <c r="F25">
        <v>3000</v>
      </c>
      <c r="G25">
        <v>20</v>
      </c>
      <c r="H25" t="s">
        <v>40</v>
      </c>
      <c r="I25">
        <v>7.5</v>
      </c>
      <c r="J25">
        <v>0.4</v>
      </c>
      <c r="K25">
        <v>36</v>
      </c>
      <c r="L25">
        <v>0.7</v>
      </c>
      <c r="M25">
        <v>0.8</v>
      </c>
      <c r="N25">
        <v>2.8</v>
      </c>
      <c r="O25">
        <v>0.1</v>
      </c>
      <c r="P25">
        <v>0.8</v>
      </c>
      <c r="Q25">
        <v>0</v>
      </c>
    </row>
    <row r="26" spans="1:17" x14ac:dyDescent="0.3">
      <c r="A26" t="s">
        <v>37</v>
      </c>
      <c r="B26" s="1">
        <v>38279</v>
      </c>
      <c r="C26" t="s">
        <v>38</v>
      </c>
      <c r="D26" t="s">
        <v>39</v>
      </c>
      <c r="E26">
        <v>1250</v>
      </c>
      <c r="F26">
        <v>3000</v>
      </c>
      <c r="G26">
        <v>20</v>
      </c>
      <c r="H26" t="s">
        <v>40</v>
      </c>
      <c r="I26">
        <v>7.5</v>
      </c>
      <c r="J26">
        <v>0.2</v>
      </c>
      <c r="K26">
        <v>42.5</v>
      </c>
      <c r="L26">
        <v>0.5</v>
      </c>
      <c r="M26">
        <v>1.9</v>
      </c>
      <c r="N26">
        <v>3.6</v>
      </c>
      <c r="O26">
        <v>0.1</v>
      </c>
      <c r="P26">
        <v>1.5</v>
      </c>
      <c r="Q26">
        <v>0</v>
      </c>
    </row>
    <row r="27" spans="1:17" x14ac:dyDescent="0.3">
      <c r="A27" t="s">
        <v>41</v>
      </c>
      <c r="B27" s="1">
        <v>38280</v>
      </c>
      <c r="C27" t="s">
        <v>42</v>
      </c>
      <c r="D27" t="s">
        <v>39</v>
      </c>
      <c r="E27">
        <v>1120</v>
      </c>
      <c r="F27">
        <v>3000</v>
      </c>
      <c r="G27">
        <v>20</v>
      </c>
      <c r="H27" t="s">
        <v>40</v>
      </c>
      <c r="I27">
        <v>4.5999999999999996</v>
      </c>
      <c r="J27">
        <v>4</v>
      </c>
      <c r="K27">
        <v>20.7</v>
      </c>
      <c r="L27">
        <v>0.4</v>
      </c>
      <c r="M27">
        <v>2.5</v>
      </c>
      <c r="N27">
        <v>1.8</v>
      </c>
      <c r="O27">
        <v>0.1</v>
      </c>
      <c r="P27">
        <v>0.7</v>
      </c>
      <c r="Q27">
        <v>6.5</v>
      </c>
    </row>
    <row r="28" spans="1:17" x14ac:dyDescent="0.3">
      <c r="A28" t="s">
        <v>41</v>
      </c>
      <c r="B28" s="1">
        <v>38280</v>
      </c>
      <c r="C28" t="s">
        <v>42</v>
      </c>
      <c r="D28" t="s">
        <v>39</v>
      </c>
      <c r="E28">
        <v>1120</v>
      </c>
      <c r="F28">
        <v>3000</v>
      </c>
      <c r="G28">
        <v>20</v>
      </c>
      <c r="H28" t="s">
        <v>40</v>
      </c>
      <c r="I28">
        <v>5.2</v>
      </c>
      <c r="J28">
        <v>0.9</v>
      </c>
      <c r="K28">
        <v>14.3</v>
      </c>
      <c r="L28">
        <v>0.4</v>
      </c>
      <c r="M28">
        <v>1.2</v>
      </c>
      <c r="N28">
        <v>1.4</v>
      </c>
      <c r="O28">
        <v>0.1</v>
      </c>
      <c r="P28">
        <v>0.5</v>
      </c>
      <c r="Q28">
        <v>0</v>
      </c>
    </row>
    <row r="29" spans="1:17" x14ac:dyDescent="0.3">
      <c r="A29" t="s">
        <v>41</v>
      </c>
      <c r="B29" s="1">
        <v>38280</v>
      </c>
      <c r="C29" t="s">
        <v>42</v>
      </c>
      <c r="D29" t="s">
        <v>39</v>
      </c>
      <c r="E29">
        <v>1120</v>
      </c>
      <c r="F29">
        <v>3000</v>
      </c>
      <c r="G29">
        <v>20</v>
      </c>
      <c r="H29" t="s">
        <v>40</v>
      </c>
      <c r="I29">
        <v>5.3</v>
      </c>
      <c r="J29">
        <v>0.5</v>
      </c>
      <c r="K29">
        <v>13.8</v>
      </c>
      <c r="L29">
        <v>0.6</v>
      </c>
      <c r="M29">
        <v>0.7</v>
      </c>
      <c r="N29">
        <v>1.1000000000000001</v>
      </c>
      <c r="O29">
        <v>0.1</v>
      </c>
      <c r="P29">
        <v>0.4</v>
      </c>
      <c r="Q29">
        <v>0</v>
      </c>
    </row>
    <row r="30" spans="1:17" x14ac:dyDescent="0.3">
      <c r="A30" t="s">
        <v>43</v>
      </c>
      <c r="B30" s="1">
        <v>38281</v>
      </c>
      <c r="C30" t="s">
        <v>44</v>
      </c>
      <c r="D30" t="s">
        <v>19</v>
      </c>
      <c r="E30">
        <v>110</v>
      </c>
      <c r="F30">
        <v>1000</v>
      </c>
      <c r="G30">
        <v>26</v>
      </c>
      <c r="H30" t="s">
        <v>20</v>
      </c>
      <c r="I30">
        <v>5.6</v>
      </c>
      <c r="J30">
        <v>0.4</v>
      </c>
      <c r="K30">
        <v>98</v>
      </c>
      <c r="L30">
        <v>1.1000000000000001</v>
      </c>
      <c r="M30">
        <v>1</v>
      </c>
      <c r="N30">
        <v>8.8000000000000007</v>
      </c>
      <c r="O30">
        <v>0.1</v>
      </c>
      <c r="P30">
        <v>0.7</v>
      </c>
      <c r="Q30">
        <v>3.2</v>
      </c>
    </row>
    <row r="31" spans="1:17" x14ac:dyDescent="0.3">
      <c r="A31" t="s">
        <v>43</v>
      </c>
      <c r="B31" s="1">
        <v>38281</v>
      </c>
      <c r="C31" t="s">
        <v>44</v>
      </c>
      <c r="D31" t="s">
        <v>19</v>
      </c>
      <c r="E31">
        <v>110</v>
      </c>
      <c r="F31">
        <v>1000</v>
      </c>
      <c r="G31">
        <v>26</v>
      </c>
      <c r="H31" t="s">
        <v>20</v>
      </c>
      <c r="I31">
        <v>6.1</v>
      </c>
      <c r="J31">
        <v>0.2</v>
      </c>
      <c r="K31">
        <v>77.3</v>
      </c>
      <c r="L31">
        <v>0.7</v>
      </c>
      <c r="M31">
        <v>1</v>
      </c>
      <c r="N31">
        <v>9.6999999999999993</v>
      </c>
      <c r="O31">
        <v>0.1</v>
      </c>
      <c r="P31">
        <v>0.8</v>
      </c>
      <c r="Q31">
        <v>0</v>
      </c>
    </row>
    <row r="32" spans="1:17" x14ac:dyDescent="0.3">
      <c r="A32" t="s">
        <v>43</v>
      </c>
      <c r="B32" s="1">
        <v>38281</v>
      </c>
      <c r="C32" t="s">
        <v>44</v>
      </c>
      <c r="D32" t="s">
        <v>19</v>
      </c>
      <c r="E32">
        <v>110</v>
      </c>
      <c r="F32">
        <v>1000</v>
      </c>
      <c r="G32">
        <v>26</v>
      </c>
      <c r="H32" t="s">
        <v>20</v>
      </c>
      <c r="I32">
        <v>6</v>
      </c>
      <c r="J32">
        <v>0.1</v>
      </c>
      <c r="K32">
        <v>100</v>
      </c>
      <c r="L32">
        <v>1.3</v>
      </c>
      <c r="M32">
        <v>0.8</v>
      </c>
      <c r="N32">
        <v>0</v>
      </c>
      <c r="O32">
        <v>0.1</v>
      </c>
      <c r="P32">
        <v>0.9</v>
      </c>
      <c r="Q32">
        <v>0</v>
      </c>
    </row>
    <row r="33" spans="1:17" x14ac:dyDescent="0.3">
      <c r="A33" t="s">
        <v>45</v>
      </c>
      <c r="B33" s="1">
        <v>38282</v>
      </c>
      <c r="C33" t="s">
        <v>46</v>
      </c>
      <c r="D33" t="s">
        <v>47</v>
      </c>
      <c r="E33">
        <v>500</v>
      </c>
      <c r="F33">
        <v>2000</v>
      </c>
      <c r="G33">
        <v>24</v>
      </c>
      <c r="H33" t="s">
        <v>24</v>
      </c>
      <c r="I33">
        <v>7.4</v>
      </c>
      <c r="J33">
        <v>3.5</v>
      </c>
      <c r="K33">
        <v>100</v>
      </c>
      <c r="L33">
        <v>0.3</v>
      </c>
      <c r="M33">
        <v>5.0999999999999996</v>
      </c>
      <c r="N33">
        <v>41.8</v>
      </c>
      <c r="O33">
        <v>0.1</v>
      </c>
      <c r="P33">
        <v>4.0999999999999996</v>
      </c>
      <c r="Q33">
        <v>100</v>
      </c>
    </row>
    <row r="34" spans="1:17" x14ac:dyDescent="0.3">
      <c r="A34" t="s">
        <v>45</v>
      </c>
      <c r="B34" s="1">
        <v>38282</v>
      </c>
      <c r="C34" t="s">
        <v>46</v>
      </c>
      <c r="D34" t="s">
        <v>47</v>
      </c>
      <c r="E34">
        <v>500</v>
      </c>
      <c r="F34">
        <v>2000</v>
      </c>
      <c r="G34">
        <v>24</v>
      </c>
      <c r="H34" t="s">
        <v>24</v>
      </c>
      <c r="I34">
        <v>7.5</v>
      </c>
      <c r="J34">
        <v>1.1000000000000001</v>
      </c>
      <c r="K34">
        <v>100</v>
      </c>
      <c r="L34">
        <v>0.4</v>
      </c>
      <c r="M34">
        <v>3.9</v>
      </c>
      <c r="N34">
        <v>18.100000000000001</v>
      </c>
      <c r="O34">
        <v>0.1</v>
      </c>
      <c r="P34">
        <v>1.9</v>
      </c>
      <c r="Q34">
        <v>100</v>
      </c>
    </row>
    <row r="35" spans="1:17" x14ac:dyDescent="0.3">
      <c r="A35" t="s">
        <v>45</v>
      </c>
      <c r="B35" s="1">
        <v>38282</v>
      </c>
      <c r="C35" t="s">
        <v>46</v>
      </c>
      <c r="D35" t="s">
        <v>47</v>
      </c>
      <c r="E35">
        <v>500</v>
      </c>
      <c r="F35">
        <v>2000</v>
      </c>
      <c r="G35">
        <v>24</v>
      </c>
      <c r="H35" t="s">
        <v>24</v>
      </c>
      <c r="I35">
        <v>7.5</v>
      </c>
      <c r="J35">
        <v>0.8</v>
      </c>
      <c r="K35">
        <v>87.6</v>
      </c>
      <c r="L35">
        <v>0.5</v>
      </c>
      <c r="M35">
        <v>3.6</v>
      </c>
      <c r="N35">
        <v>13.5</v>
      </c>
      <c r="O35">
        <v>0.1</v>
      </c>
      <c r="P35">
        <v>1.8</v>
      </c>
      <c r="Q35">
        <v>0</v>
      </c>
    </row>
    <row r="36" spans="1:17" x14ac:dyDescent="0.3">
      <c r="A36" t="s">
        <v>45</v>
      </c>
      <c r="B36" s="1">
        <v>38282</v>
      </c>
      <c r="C36" t="s">
        <v>46</v>
      </c>
      <c r="D36" t="s">
        <v>47</v>
      </c>
      <c r="E36">
        <v>500</v>
      </c>
      <c r="F36">
        <v>2000</v>
      </c>
      <c r="G36">
        <v>24</v>
      </c>
      <c r="H36" t="s">
        <v>24</v>
      </c>
      <c r="I36">
        <v>7.2</v>
      </c>
      <c r="J36">
        <v>1.7</v>
      </c>
      <c r="K36">
        <v>78.400000000000006</v>
      </c>
      <c r="L36">
        <v>0.3</v>
      </c>
      <c r="M36">
        <v>4.3</v>
      </c>
      <c r="N36">
        <v>11.7</v>
      </c>
      <c r="O36">
        <v>0.1</v>
      </c>
      <c r="P36">
        <v>2.4</v>
      </c>
      <c r="Q36">
        <v>0</v>
      </c>
    </row>
    <row r="37" spans="1:17" x14ac:dyDescent="0.3">
      <c r="A37" t="s">
        <v>45</v>
      </c>
      <c r="B37" s="1">
        <v>38282</v>
      </c>
      <c r="C37" t="s">
        <v>46</v>
      </c>
      <c r="D37" t="s">
        <v>47</v>
      </c>
      <c r="E37">
        <v>500</v>
      </c>
      <c r="F37">
        <v>2000</v>
      </c>
      <c r="G37">
        <v>24</v>
      </c>
      <c r="H37" t="s">
        <v>24</v>
      </c>
      <c r="I37">
        <v>7.3</v>
      </c>
      <c r="J37">
        <v>1.1000000000000001</v>
      </c>
      <c r="K37">
        <v>80.8</v>
      </c>
      <c r="L37">
        <v>0.4</v>
      </c>
      <c r="M37">
        <v>3.8</v>
      </c>
      <c r="N37">
        <v>9.1</v>
      </c>
      <c r="O37">
        <v>0.1</v>
      </c>
      <c r="P37">
        <v>2.4</v>
      </c>
      <c r="Q37">
        <v>0</v>
      </c>
    </row>
    <row r="38" spans="1:17" x14ac:dyDescent="0.3">
      <c r="A38" t="s">
        <v>45</v>
      </c>
      <c r="B38" s="1">
        <v>38282</v>
      </c>
      <c r="C38" t="s">
        <v>46</v>
      </c>
      <c r="D38" t="s">
        <v>47</v>
      </c>
      <c r="E38">
        <v>500</v>
      </c>
      <c r="F38">
        <v>2000</v>
      </c>
      <c r="G38">
        <v>24</v>
      </c>
      <c r="H38" t="s">
        <v>24</v>
      </c>
      <c r="I38">
        <v>7.1</v>
      </c>
      <c r="J38">
        <v>0.4</v>
      </c>
      <c r="K38">
        <v>85.9</v>
      </c>
      <c r="L38">
        <v>0.3</v>
      </c>
      <c r="M38">
        <v>10.199999999999999</v>
      </c>
      <c r="N38">
        <v>5.4</v>
      </c>
      <c r="O38">
        <v>0.1</v>
      </c>
      <c r="P38">
        <v>1.8</v>
      </c>
      <c r="Q38">
        <v>0</v>
      </c>
    </row>
    <row r="39" spans="1:17" x14ac:dyDescent="0.3">
      <c r="A39" t="s">
        <v>48</v>
      </c>
      <c r="B39" s="1">
        <v>38286</v>
      </c>
      <c r="C39" t="s">
        <v>49</v>
      </c>
      <c r="D39" t="s">
        <v>50</v>
      </c>
      <c r="E39">
        <v>10</v>
      </c>
      <c r="F39">
        <v>1000</v>
      </c>
      <c r="G39">
        <v>26</v>
      </c>
      <c r="H39" t="s">
        <v>51</v>
      </c>
      <c r="I39">
        <v>6.8</v>
      </c>
      <c r="J39">
        <v>0.2</v>
      </c>
      <c r="K39">
        <v>100</v>
      </c>
      <c r="L39">
        <v>1.5</v>
      </c>
      <c r="M39">
        <v>1.6</v>
      </c>
      <c r="N39">
        <v>3</v>
      </c>
      <c r="O39">
        <v>0.1</v>
      </c>
      <c r="P39">
        <v>0.7</v>
      </c>
      <c r="Q39">
        <v>8.1</v>
      </c>
    </row>
    <row r="40" spans="1:17" x14ac:dyDescent="0.3">
      <c r="A40" t="s">
        <v>48</v>
      </c>
      <c r="B40" s="1">
        <v>38286</v>
      </c>
      <c r="C40" t="s">
        <v>49</v>
      </c>
      <c r="D40" t="s">
        <v>50</v>
      </c>
      <c r="E40">
        <v>10</v>
      </c>
      <c r="F40">
        <v>1000</v>
      </c>
      <c r="G40">
        <v>26</v>
      </c>
      <c r="H40" t="s">
        <v>51</v>
      </c>
      <c r="I40">
        <v>7</v>
      </c>
      <c r="J40">
        <v>0.1</v>
      </c>
      <c r="K40">
        <v>73.099999999999994</v>
      </c>
      <c r="L40">
        <v>1.3</v>
      </c>
      <c r="M40">
        <v>0.9</v>
      </c>
      <c r="N40">
        <v>1.8</v>
      </c>
      <c r="O40">
        <v>0.1</v>
      </c>
      <c r="P40">
        <v>0.5</v>
      </c>
      <c r="Q40">
        <v>13.7</v>
      </c>
    </row>
    <row r="41" spans="1:17" x14ac:dyDescent="0.3">
      <c r="A41" t="s">
        <v>48</v>
      </c>
      <c r="B41" s="1">
        <v>38286</v>
      </c>
      <c r="C41" t="s">
        <v>49</v>
      </c>
      <c r="D41" t="s">
        <v>50</v>
      </c>
      <c r="E41">
        <v>10</v>
      </c>
      <c r="F41">
        <v>1000</v>
      </c>
      <c r="G41">
        <v>26</v>
      </c>
      <c r="H41" t="s">
        <v>51</v>
      </c>
      <c r="I41">
        <v>6.9</v>
      </c>
      <c r="J41">
        <v>0.2</v>
      </c>
      <c r="K41">
        <v>98.2</v>
      </c>
      <c r="L41">
        <v>1.2</v>
      </c>
      <c r="M41">
        <v>1.2</v>
      </c>
      <c r="N41">
        <v>3.5</v>
      </c>
      <c r="O41">
        <v>0.1</v>
      </c>
      <c r="P41">
        <v>0.9</v>
      </c>
      <c r="Q41">
        <v>0</v>
      </c>
    </row>
    <row r="42" spans="1:17" x14ac:dyDescent="0.3">
      <c r="A42" t="s">
        <v>48</v>
      </c>
      <c r="B42" s="1">
        <v>38286</v>
      </c>
      <c r="C42" t="s">
        <v>49</v>
      </c>
      <c r="D42" t="s">
        <v>50</v>
      </c>
      <c r="E42">
        <v>10</v>
      </c>
      <c r="F42">
        <v>1000</v>
      </c>
      <c r="G42">
        <v>26</v>
      </c>
      <c r="H42" t="s">
        <v>51</v>
      </c>
      <c r="I42">
        <v>6.7</v>
      </c>
      <c r="J42">
        <v>0.3</v>
      </c>
      <c r="K42">
        <v>99.7</v>
      </c>
      <c r="L42">
        <v>0.9</v>
      </c>
      <c r="M42">
        <v>1.7</v>
      </c>
      <c r="N42">
        <v>4.0999999999999996</v>
      </c>
      <c r="O42">
        <v>0.1</v>
      </c>
      <c r="P42">
        <v>1</v>
      </c>
      <c r="Q42">
        <v>0</v>
      </c>
    </row>
    <row r="43" spans="1:17" x14ac:dyDescent="0.3">
      <c r="A43" t="s">
        <v>48</v>
      </c>
      <c r="B43" s="1">
        <v>38286</v>
      </c>
      <c r="C43" t="s">
        <v>49</v>
      </c>
      <c r="D43" t="s">
        <v>50</v>
      </c>
      <c r="E43">
        <v>10</v>
      </c>
      <c r="F43">
        <v>1000</v>
      </c>
      <c r="G43">
        <v>26</v>
      </c>
      <c r="H43" t="s">
        <v>51</v>
      </c>
      <c r="I43">
        <v>6.7</v>
      </c>
      <c r="J43">
        <v>0.2</v>
      </c>
      <c r="K43">
        <v>100</v>
      </c>
      <c r="L43">
        <v>1.3</v>
      </c>
      <c r="M43">
        <v>1.8</v>
      </c>
      <c r="N43">
        <v>4.9000000000000004</v>
      </c>
      <c r="O43">
        <v>0.1</v>
      </c>
      <c r="P43">
        <v>0.9</v>
      </c>
      <c r="Q43">
        <v>0</v>
      </c>
    </row>
    <row r="44" spans="1:17" x14ac:dyDescent="0.3">
      <c r="A44" t="s">
        <v>48</v>
      </c>
      <c r="B44" s="1">
        <v>38286</v>
      </c>
      <c r="C44" t="s">
        <v>49</v>
      </c>
      <c r="D44" t="s">
        <v>50</v>
      </c>
      <c r="E44">
        <v>10</v>
      </c>
      <c r="F44">
        <v>1000</v>
      </c>
      <c r="G44">
        <v>26</v>
      </c>
      <c r="H44" t="s">
        <v>51</v>
      </c>
      <c r="I44">
        <v>6.8</v>
      </c>
      <c r="J44">
        <v>0.1</v>
      </c>
      <c r="K44">
        <v>100</v>
      </c>
      <c r="L44">
        <v>2.8</v>
      </c>
      <c r="M44">
        <v>1.1000000000000001</v>
      </c>
      <c r="N44">
        <v>2.1</v>
      </c>
      <c r="O44">
        <v>0.1</v>
      </c>
      <c r="P44">
        <v>0.4</v>
      </c>
      <c r="Q44">
        <v>0</v>
      </c>
    </row>
    <row r="45" spans="1:17" x14ac:dyDescent="0.3">
      <c r="A45" t="s">
        <v>52</v>
      </c>
      <c r="B45" s="1">
        <v>38286</v>
      </c>
      <c r="C45" t="s">
        <v>53</v>
      </c>
      <c r="D45" t="s">
        <v>27</v>
      </c>
      <c r="E45">
        <v>30</v>
      </c>
      <c r="F45">
        <v>1000</v>
      </c>
      <c r="G45">
        <v>26</v>
      </c>
      <c r="H45" t="s">
        <v>24</v>
      </c>
      <c r="I45">
        <v>5</v>
      </c>
      <c r="J45">
        <v>0.1</v>
      </c>
      <c r="K45">
        <v>84.7</v>
      </c>
      <c r="L45">
        <v>6</v>
      </c>
      <c r="M45">
        <v>0.7</v>
      </c>
      <c r="N45">
        <v>0.2</v>
      </c>
      <c r="O45">
        <v>0.1</v>
      </c>
      <c r="P45">
        <v>0.3</v>
      </c>
      <c r="Q45">
        <v>6.8</v>
      </c>
    </row>
    <row r="46" spans="1:17" x14ac:dyDescent="0.3">
      <c r="A46" t="s">
        <v>52</v>
      </c>
      <c r="B46" s="1">
        <v>38286</v>
      </c>
      <c r="C46" t="s">
        <v>53</v>
      </c>
      <c r="D46" t="s">
        <v>27</v>
      </c>
      <c r="E46">
        <v>30</v>
      </c>
      <c r="F46">
        <v>1000</v>
      </c>
      <c r="G46">
        <v>26</v>
      </c>
      <c r="H46" t="s">
        <v>24</v>
      </c>
      <c r="I46">
        <v>4.9000000000000004</v>
      </c>
      <c r="J46">
        <v>0.2</v>
      </c>
      <c r="K46">
        <v>12.7</v>
      </c>
      <c r="L46">
        <v>0.4</v>
      </c>
      <c r="M46">
        <v>0.8</v>
      </c>
      <c r="N46">
        <v>0.5</v>
      </c>
      <c r="O46">
        <v>0.1</v>
      </c>
      <c r="P46">
        <v>0.3</v>
      </c>
      <c r="Q46">
        <v>2.1</v>
      </c>
    </row>
    <row r="47" spans="1:17" x14ac:dyDescent="0.3">
      <c r="A47" t="s">
        <v>52</v>
      </c>
      <c r="B47" s="1">
        <v>38286</v>
      </c>
      <c r="C47" t="s">
        <v>53</v>
      </c>
      <c r="D47" t="s">
        <v>27</v>
      </c>
      <c r="E47">
        <v>30</v>
      </c>
      <c r="F47">
        <v>1000</v>
      </c>
      <c r="G47">
        <v>26</v>
      </c>
      <c r="H47" t="s">
        <v>24</v>
      </c>
      <c r="I47">
        <v>5.8</v>
      </c>
      <c r="J47">
        <v>0.1</v>
      </c>
      <c r="K47">
        <v>50.3</v>
      </c>
      <c r="L47">
        <v>1.9</v>
      </c>
      <c r="M47">
        <v>0.7</v>
      </c>
      <c r="N47">
        <v>0.6</v>
      </c>
      <c r="O47">
        <v>0.1</v>
      </c>
      <c r="P47">
        <v>0.2</v>
      </c>
      <c r="Q47">
        <v>0</v>
      </c>
    </row>
    <row r="48" spans="1:17" x14ac:dyDescent="0.3">
      <c r="A48" t="s">
        <v>52</v>
      </c>
      <c r="B48" s="1">
        <v>38286</v>
      </c>
      <c r="C48" t="s">
        <v>53</v>
      </c>
      <c r="D48" t="s">
        <v>27</v>
      </c>
      <c r="E48">
        <v>30</v>
      </c>
      <c r="F48">
        <v>1000</v>
      </c>
      <c r="G48">
        <v>26</v>
      </c>
      <c r="H48" t="s">
        <v>24</v>
      </c>
      <c r="I48">
        <v>6.2</v>
      </c>
      <c r="J48">
        <v>0.1</v>
      </c>
      <c r="K48">
        <v>55.5</v>
      </c>
      <c r="L48">
        <v>1.4</v>
      </c>
      <c r="M48">
        <v>1</v>
      </c>
      <c r="N48">
        <v>1.6</v>
      </c>
      <c r="O48">
        <v>0.1</v>
      </c>
      <c r="P48">
        <v>0.4</v>
      </c>
      <c r="Q48">
        <v>0</v>
      </c>
    </row>
    <row r="49" spans="1:17" x14ac:dyDescent="0.3">
      <c r="A49" t="s">
        <v>52</v>
      </c>
      <c r="B49" s="1">
        <v>38286</v>
      </c>
      <c r="C49" t="s">
        <v>53</v>
      </c>
      <c r="D49" t="s">
        <v>27</v>
      </c>
      <c r="E49">
        <v>30</v>
      </c>
      <c r="F49">
        <v>1000</v>
      </c>
      <c r="G49">
        <v>26</v>
      </c>
      <c r="H49" t="s">
        <v>24</v>
      </c>
      <c r="I49">
        <v>6.4</v>
      </c>
      <c r="J49">
        <v>0.1</v>
      </c>
      <c r="K49">
        <v>65.3</v>
      </c>
      <c r="L49">
        <v>1.8</v>
      </c>
      <c r="M49">
        <v>1.1000000000000001</v>
      </c>
      <c r="N49">
        <v>1.1000000000000001</v>
      </c>
      <c r="O49">
        <v>0.1</v>
      </c>
      <c r="P49">
        <v>0.4</v>
      </c>
      <c r="Q49">
        <v>0</v>
      </c>
    </row>
    <row r="50" spans="1:17" x14ac:dyDescent="0.3">
      <c r="A50" t="s">
        <v>54</v>
      </c>
      <c r="B50" s="1">
        <v>38286</v>
      </c>
      <c r="C50" t="s">
        <v>55</v>
      </c>
      <c r="D50" t="s">
        <v>19</v>
      </c>
      <c r="E50">
        <v>125</v>
      </c>
      <c r="F50">
        <v>1000</v>
      </c>
      <c r="G50">
        <v>26</v>
      </c>
      <c r="H50" t="s">
        <v>24</v>
      </c>
      <c r="I50">
        <v>5.6</v>
      </c>
      <c r="J50">
        <v>1.1000000000000001</v>
      </c>
      <c r="K50">
        <v>65.2</v>
      </c>
      <c r="L50">
        <v>0.5</v>
      </c>
      <c r="M50">
        <v>2.9</v>
      </c>
      <c r="N50">
        <v>4.4000000000000004</v>
      </c>
      <c r="O50">
        <v>0.1</v>
      </c>
      <c r="P50">
        <v>1.2</v>
      </c>
      <c r="Q50">
        <v>30.2</v>
      </c>
    </row>
    <row r="51" spans="1:17" x14ac:dyDescent="0.3">
      <c r="A51" t="s">
        <v>54</v>
      </c>
      <c r="B51" s="1">
        <v>38286</v>
      </c>
      <c r="C51" t="s">
        <v>55</v>
      </c>
      <c r="D51" t="s">
        <v>19</v>
      </c>
      <c r="E51">
        <v>125</v>
      </c>
      <c r="F51">
        <v>1000</v>
      </c>
      <c r="G51">
        <v>26</v>
      </c>
      <c r="H51" t="s">
        <v>24</v>
      </c>
      <c r="I51">
        <v>6.1</v>
      </c>
      <c r="J51">
        <v>0.3</v>
      </c>
      <c r="K51">
        <v>76</v>
      </c>
      <c r="L51">
        <v>1.4</v>
      </c>
      <c r="M51">
        <v>3.2</v>
      </c>
      <c r="N51">
        <v>1.7</v>
      </c>
      <c r="O51">
        <v>0.1</v>
      </c>
      <c r="P51">
        <v>0.6</v>
      </c>
      <c r="Q51">
        <v>12.9</v>
      </c>
    </row>
    <row r="52" spans="1:17" x14ac:dyDescent="0.3">
      <c r="A52" t="s">
        <v>54</v>
      </c>
      <c r="B52" s="1">
        <v>38286</v>
      </c>
      <c r="C52" t="s">
        <v>55</v>
      </c>
      <c r="D52" t="s">
        <v>19</v>
      </c>
      <c r="E52">
        <v>125</v>
      </c>
      <c r="F52">
        <v>1000</v>
      </c>
      <c r="G52">
        <v>26</v>
      </c>
      <c r="H52" t="s">
        <v>24</v>
      </c>
      <c r="I52">
        <v>6</v>
      </c>
      <c r="J52">
        <v>0.2</v>
      </c>
      <c r="K52">
        <v>72.8</v>
      </c>
      <c r="L52">
        <v>1.3</v>
      </c>
      <c r="M52">
        <v>2.2000000000000002</v>
      </c>
      <c r="N52">
        <v>1.5</v>
      </c>
      <c r="O52">
        <v>0.1</v>
      </c>
      <c r="P52">
        <v>0.5</v>
      </c>
      <c r="Q52">
        <v>0</v>
      </c>
    </row>
    <row r="53" spans="1:17" x14ac:dyDescent="0.3">
      <c r="A53" t="s">
        <v>54</v>
      </c>
      <c r="B53" s="1">
        <v>38286</v>
      </c>
      <c r="C53" t="s">
        <v>55</v>
      </c>
      <c r="D53" t="s">
        <v>19</v>
      </c>
      <c r="E53">
        <v>125</v>
      </c>
      <c r="F53">
        <v>1000</v>
      </c>
      <c r="G53">
        <v>26</v>
      </c>
      <c r="H53" t="s">
        <v>24</v>
      </c>
      <c r="I53">
        <v>5.9</v>
      </c>
      <c r="J53">
        <v>0.1</v>
      </c>
      <c r="K53">
        <v>73.400000000000006</v>
      </c>
      <c r="L53">
        <v>2.4</v>
      </c>
      <c r="M53">
        <v>0.9</v>
      </c>
      <c r="N53">
        <v>2.1</v>
      </c>
      <c r="O53">
        <v>0.1</v>
      </c>
      <c r="P53">
        <v>0.6</v>
      </c>
      <c r="Q53">
        <v>0</v>
      </c>
    </row>
    <row r="54" spans="1:17" x14ac:dyDescent="0.3">
      <c r="A54" t="s">
        <v>54</v>
      </c>
      <c r="B54" s="1">
        <v>38286</v>
      </c>
      <c r="C54" t="s">
        <v>55</v>
      </c>
      <c r="D54" t="s">
        <v>19</v>
      </c>
      <c r="E54">
        <v>125</v>
      </c>
      <c r="F54">
        <v>1000</v>
      </c>
      <c r="G54">
        <v>26</v>
      </c>
      <c r="H54" t="s">
        <v>24</v>
      </c>
      <c r="I54">
        <v>6.1</v>
      </c>
      <c r="J54">
        <v>0</v>
      </c>
      <c r="K54">
        <v>97.8</v>
      </c>
      <c r="L54">
        <v>2.4</v>
      </c>
      <c r="M54">
        <v>0.8</v>
      </c>
      <c r="N54">
        <v>2.2000000000000002</v>
      </c>
      <c r="O54">
        <v>0.1</v>
      </c>
      <c r="P54">
        <v>0.5</v>
      </c>
      <c r="Q54">
        <v>0</v>
      </c>
    </row>
    <row r="55" spans="1:17" x14ac:dyDescent="0.3">
      <c r="A55" t="s">
        <v>56</v>
      </c>
      <c r="B55" s="1">
        <v>38288</v>
      </c>
      <c r="C55" t="s">
        <v>57</v>
      </c>
      <c r="D55" t="s">
        <v>58</v>
      </c>
      <c r="E55">
        <v>10</v>
      </c>
      <c r="F55">
        <v>1000</v>
      </c>
      <c r="G55">
        <v>26</v>
      </c>
      <c r="H55" t="s">
        <v>59</v>
      </c>
      <c r="I55">
        <v>6.2</v>
      </c>
      <c r="J55">
        <v>0.4</v>
      </c>
      <c r="K55">
        <v>100</v>
      </c>
      <c r="L55">
        <v>1.1000000000000001</v>
      </c>
      <c r="M55">
        <v>3.1</v>
      </c>
      <c r="N55">
        <v>0</v>
      </c>
      <c r="O55">
        <v>0.1</v>
      </c>
      <c r="P55">
        <v>0.6</v>
      </c>
      <c r="Q55">
        <v>60.5</v>
      </c>
    </row>
    <row r="56" spans="1:17" x14ac:dyDescent="0.3">
      <c r="A56" t="s">
        <v>56</v>
      </c>
      <c r="B56" s="1">
        <v>38288</v>
      </c>
      <c r="C56" t="s">
        <v>57</v>
      </c>
      <c r="D56" t="s">
        <v>58</v>
      </c>
      <c r="E56">
        <v>10</v>
      </c>
      <c r="F56">
        <v>1000</v>
      </c>
      <c r="G56">
        <v>26</v>
      </c>
      <c r="H56" t="s">
        <v>59</v>
      </c>
      <c r="I56">
        <v>5.7</v>
      </c>
      <c r="J56">
        <v>0.3</v>
      </c>
      <c r="K56">
        <v>72.400000000000006</v>
      </c>
      <c r="L56">
        <v>0.9</v>
      </c>
      <c r="M56">
        <v>1.6</v>
      </c>
      <c r="N56">
        <v>3.9</v>
      </c>
      <c r="O56">
        <v>0.1</v>
      </c>
      <c r="P56">
        <v>1.1000000000000001</v>
      </c>
      <c r="Q56">
        <v>0</v>
      </c>
    </row>
    <row r="57" spans="1:17" x14ac:dyDescent="0.3">
      <c r="A57" t="s">
        <v>56</v>
      </c>
      <c r="B57" s="1">
        <v>38288</v>
      </c>
      <c r="C57" t="s">
        <v>57</v>
      </c>
      <c r="D57" t="s">
        <v>58</v>
      </c>
      <c r="E57">
        <v>10</v>
      </c>
      <c r="F57">
        <v>1000</v>
      </c>
      <c r="G57">
        <v>26</v>
      </c>
      <c r="H57" t="s">
        <v>59</v>
      </c>
      <c r="I57">
        <v>5.9</v>
      </c>
      <c r="J57">
        <v>0.2</v>
      </c>
      <c r="K57">
        <v>70.3</v>
      </c>
      <c r="L57">
        <v>0.7</v>
      </c>
      <c r="M57">
        <v>1.3</v>
      </c>
      <c r="N57">
        <v>4</v>
      </c>
      <c r="O57">
        <v>0.1</v>
      </c>
      <c r="P57">
        <v>1.1000000000000001</v>
      </c>
      <c r="Q57">
        <v>0</v>
      </c>
    </row>
    <row r="58" spans="1:17" x14ac:dyDescent="0.3">
      <c r="A58" t="s">
        <v>56</v>
      </c>
      <c r="B58" s="1">
        <v>38288</v>
      </c>
      <c r="C58" t="s">
        <v>57</v>
      </c>
      <c r="D58" t="s">
        <v>58</v>
      </c>
      <c r="E58">
        <v>10</v>
      </c>
      <c r="F58">
        <v>1000</v>
      </c>
      <c r="G58">
        <v>26</v>
      </c>
      <c r="H58" t="s">
        <v>59</v>
      </c>
      <c r="I58">
        <v>6.1</v>
      </c>
      <c r="J58">
        <v>0.1</v>
      </c>
      <c r="K58">
        <v>100</v>
      </c>
      <c r="L58">
        <v>1.8</v>
      </c>
      <c r="M58">
        <v>1</v>
      </c>
      <c r="N58">
        <v>0</v>
      </c>
      <c r="O58">
        <v>0.1</v>
      </c>
      <c r="P58">
        <v>0.6</v>
      </c>
      <c r="Q58">
        <v>0</v>
      </c>
    </row>
    <row r="59" spans="1:17" x14ac:dyDescent="0.3">
      <c r="A59" t="s">
        <v>56</v>
      </c>
      <c r="B59" s="1">
        <v>38288</v>
      </c>
      <c r="C59" t="s">
        <v>57</v>
      </c>
      <c r="D59" t="s">
        <v>58</v>
      </c>
      <c r="E59">
        <v>10</v>
      </c>
      <c r="F59">
        <v>1000</v>
      </c>
      <c r="G59">
        <v>26</v>
      </c>
      <c r="H59" t="s">
        <v>59</v>
      </c>
      <c r="I59">
        <v>6.3</v>
      </c>
      <c r="J59">
        <v>0.1</v>
      </c>
      <c r="K59">
        <v>100</v>
      </c>
      <c r="L59">
        <v>1.9</v>
      </c>
      <c r="M59">
        <v>0.9</v>
      </c>
      <c r="N59">
        <v>0</v>
      </c>
      <c r="O59">
        <v>0.1</v>
      </c>
      <c r="P59">
        <v>0.8</v>
      </c>
      <c r="Q59">
        <v>0</v>
      </c>
    </row>
    <row r="60" spans="1:17" x14ac:dyDescent="0.3">
      <c r="A60" t="s">
        <v>56</v>
      </c>
      <c r="B60" s="1">
        <v>38288</v>
      </c>
      <c r="C60" t="s">
        <v>57</v>
      </c>
      <c r="D60" t="s">
        <v>58</v>
      </c>
      <c r="E60">
        <v>10</v>
      </c>
      <c r="F60">
        <v>1000</v>
      </c>
      <c r="G60">
        <v>26</v>
      </c>
      <c r="H60" t="s">
        <v>59</v>
      </c>
      <c r="I60">
        <v>6.2</v>
      </c>
      <c r="J60">
        <v>0</v>
      </c>
      <c r="K60">
        <v>100</v>
      </c>
      <c r="L60">
        <v>4.5</v>
      </c>
      <c r="M60">
        <v>0.8</v>
      </c>
      <c r="N60">
        <v>0</v>
      </c>
      <c r="O60">
        <v>0.1</v>
      </c>
      <c r="P60">
        <v>0.4</v>
      </c>
      <c r="Q60">
        <v>0</v>
      </c>
    </row>
    <row r="61" spans="1:17" x14ac:dyDescent="0.3">
      <c r="A61" t="s">
        <v>56</v>
      </c>
      <c r="B61" s="1">
        <v>38288</v>
      </c>
      <c r="C61" t="s">
        <v>57</v>
      </c>
      <c r="D61" t="s">
        <v>58</v>
      </c>
      <c r="E61">
        <v>10</v>
      </c>
      <c r="F61">
        <v>1000</v>
      </c>
      <c r="G61">
        <v>26</v>
      </c>
      <c r="H61" t="s">
        <v>59</v>
      </c>
      <c r="I61">
        <v>6.3</v>
      </c>
      <c r="J61">
        <v>0</v>
      </c>
      <c r="K61">
        <v>69.400000000000006</v>
      </c>
      <c r="L61">
        <v>8.9</v>
      </c>
      <c r="M61">
        <v>0.1</v>
      </c>
      <c r="N61">
        <v>0.6</v>
      </c>
      <c r="O61">
        <v>0.2</v>
      </c>
      <c r="P61">
        <v>0.4</v>
      </c>
      <c r="Q61">
        <v>0</v>
      </c>
    </row>
    <row r="62" spans="1:17" x14ac:dyDescent="0.3">
      <c r="A62" t="s">
        <v>60</v>
      </c>
      <c r="B62" s="1">
        <v>41526</v>
      </c>
      <c r="C62" t="s">
        <v>61</v>
      </c>
      <c r="D62" t="s">
        <v>19</v>
      </c>
      <c r="E62">
        <v>343</v>
      </c>
      <c r="F62">
        <v>1000</v>
      </c>
      <c r="G62">
        <v>26</v>
      </c>
      <c r="H62" t="s">
        <v>62</v>
      </c>
      <c r="I62">
        <v>5.7</v>
      </c>
      <c r="J62">
        <v>1.2</v>
      </c>
      <c r="K62">
        <v>53</v>
      </c>
      <c r="L62">
        <v>3</v>
      </c>
      <c r="M62">
        <v>0.3</v>
      </c>
      <c r="N62">
        <v>3.9</v>
      </c>
      <c r="O62">
        <v>0.3</v>
      </c>
      <c r="P62">
        <v>0.8</v>
      </c>
      <c r="Q62">
        <v>6.3</v>
      </c>
    </row>
    <row r="63" spans="1:17" x14ac:dyDescent="0.3">
      <c r="A63" t="s">
        <v>60</v>
      </c>
      <c r="B63" s="1">
        <v>41526</v>
      </c>
      <c r="C63" t="s">
        <v>61</v>
      </c>
      <c r="D63" t="s">
        <v>19</v>
      </c>
      <c r="E63">
        <v>343</v>
      </c>
      <c r="F63">
        <v>1000</v>
      </c>
      <c r="G63">
        <v>26</v>
      </c>
      <c r="H63" t="s">
        <v>62</v>
      </c>
      <c r="I63">
        <v>6.1</v>
      </c>
      <c r="J63">
        <v>0.7</v>
      </c>
      <c r="K63">
        <v>51</v>
      </c>
      <c r="L63">
        <v>3.9</v>
      </c>
      <c r="M63">
        <v>0.2</v>
      </c>
      <c r="N63">
        <v>3.3</v>
      </c>
      <c r="O63">
        <v>0.3</v>
      </c>
      <c r="P63">
        <v>0.6</v>
      </c>
      <c r="Q63">
        <v>1</v>
      </c>
    </row>
    <row r="64" spans="1:17" x14ac:dyDescent="0.3">
      <c r="A64" t="s">
        <v>60</v>
      </c>
      <c r="B64" s="1">
        <v>41526</v>
      </c>
      <c r="C64" t="s">
        <v>61</v>
      </c>
      <c r="D64" t="s">
        <v>19</v>
      </c>
      <c r="E64">
        <v>343</v>
      </c>
      <c r="F64">
        <v>1000</v>
      </c>
      <c r="G64">
        <v>26</v>
      </c>
      <c r="H64" t="s">
        <v>62</v>
      </c>
      <c r="I64">
        <v>7.1</v>
      </c>
      <c r="J64">
        <v>0.1</v>
      </c>
      <c r="K64">
        <v>70</v>
      </c>
      <c r="L64">
        <v>4.0999999999999996</v>
      </c>
      <c r="M64">
        <v>0.2</v>
      </c>
      <c r="N64">
        <v>5.0999999999999996</v>
      </c>
      <c r="O64">
        <v>0.4</v>
      </c>
      <c r="P64">
        <v>0.6</v>
      </c>
      <c r="Q64">
        <v>0</v>
      </c>
    </row>
    <row r="65" spans="1:17" x14ac:dyDescent="0.3">
      <c r="A65" t="s">
        <v>63</v>
      </c>
      <c r="B65" s="1">
        <v>41527</v>
      </c>
      <c r="C65" t="s">
        <v>64</v>
      </c>
      <c r="D65" t="s">
        <v>65</v>
      </c>
      <c r="E65">
        <v>1237</v>
      </c>
      <c r="F65">
        <v>1500</v>
      </c>
      <c r="G65">
        <v>26</v>
      </c>
      <c r="H65" t="s">
        <v>66</v>
      </c>
      <c r="I65">
        <v>6.2</v>
      </c>
      <c r="J65">
        <v>3.9</v>
      </c>
      <c r="K65">
        <v>24</v>
      </c>
      <c r="L65">
        <v>2.2000000000000002</v>
      </c>
      <c r="M65">
        <v>0.5</v>
      </c>
      <c r="N65">
        <v>4.2</v>
      </c>
      <c r="O65">
        <v>0.7</v>
      </c>
      <c r="P65">
        <v>1.7</v>
      </c>
      <c r="Q65">
        <v>0.1</v>
      </c>
    </row>
    <row r="66" spans="1:17" x14ac:dyDescent="0.3">
      <c r="A66" t="s">
        <v>63</v>
      </c>
      <c r="B66" s="1">
        <v>41527</v>
      </c>
      <c r="C66" t="s">
        <v>64</v>
      </c>
      <c r="D66" t="s">
        <v>65</v>
      </c>
      <c r="E66">
        <v>1237</v>
      </c>
      <c r="F66">
        <v>1500</v>
      </c>
      <c r="G66">
        <v>26</v>
      </c>
      <c r="H66" t="s">
        <v>66</v>
      </c>
      <c r="I66">
        <v>5.9</v>
      </c>
      <c r="J66">
        <v>0.6</v>
      </c>
      <c r="K66">
        <v>12</v>
      </c>
      <c r="L66">
        <v>1.7</v>
      </c>
      <c r="M66">
        <v>0.3</v>
      </c>
      <c r="N66">
        <v>1.9</v>
      </c>
      <c r="O66">
        <v>0.6</v>
      </c>
      <c r="P66">
        <v>1.4</v>
      </c>
      <c r="Q66">
        <v>0.1</v>
      </c>
    </row>
    <row r="67" spans="1:17" x14ac:dyDescent="0.3">
      <c r="A67" t="s">
        <v>63</v>
      </c>
      <c r="B67" s="1">
        <v>41527</v>
      </c>
      <c r="C67" t="s">
        <v>64</v>
      </c>
      <c r="D67" t="s">
        <v>65</v>
      </c>
      <c r="E67">
        <v>1237</v>
      </c>
      <c r="F67">
        <v>1500</v>
      </c>
      <c r="G67">
        <v>26</v>
      </c>
      <c r="H67" t="s">
        <v>66</v>
      </c>
      <c r="I67">
        <v>5.8</v>
      </c>
      <c r="J67">
        <v>0.2</v>
      </c>
      <c r="K67">
        <v>12</v>
      </c>
      <c r="L67">
        <v>1.8</v>
      </c>
      <c r="M67">
        <v>0.2</v>
      </c>
      <c r="N67">
        <v>1.3</v>
      </c>
      <c r="O67">
        <v>0.5</v>
      </c>
      <c r="P67">
        <v>1.5</v>
      </c>
      <c r="Q67">
        <v>0</v>
      </c>
    </row>
    <row r="68" spans="1:17" x14ac:dyDescent="0.3">
      <c r="A68" t="s">
        <v>63</v>
      </c>
      <c r="B68" s="1">
        <v>41527</v>
      </c>
      <c r="C68" t="s">
        <v>64</v>
      </c>
      <c r="D68" t="s">
        <v>65</v>
      </c>
      <c r="E68">
        <v>1237</v>
      </c>
      <c r="F68">
        <v>1500</v>
      </c>
      <c r="G68">
        <v>26</v>
      </c>
      <c r="H68" t="s">
        <v>66</v>
      </c>
      <c r="I68">
        <v>6.1</v>
      </c>
      <c r="J68">
        <v>0</v>
      </c>
      <c r="K68">
        <v>14</v>
      </c>
      <c r="L68">
        <v>2.2000000000000002</v>
      </c>
      <c r="M68">
        <v>0.1</v>
      </c>
      <c r="N68">
        <v>0.8</v>
      </c>
      <c r="O68">
        <v>0.6</v>
      </c>
      <c r="P68">
        <v>1.9</v>
      </c>
      <c r="Q68">
        <v>0</v>
      </c>
    </row>
    <row r="69" spans="1:17" x14ac:dyDescent="0.3">
      <c r="A69" t="s">
        <v>67</v>
      </c>
      <c r="B69" s="1">
        <v>41528</v>
      </c>
      <c r="C69" t="s">
        <v>68</v>
      </c>
      <c r="D69" t="s">
        <v>27</v>
      </c>
      <c r="E69">
        <v>176</v>
      </c>
      <c r="F69">
        <v>1000</v>
      </c>
      <c r="G69">
        <v>26</v>
      </c>
      <c r="H69" t="s">
        <v>20</v>
      </c>
      <c r="I69">
        <v>6.6</v>
      </c>
      <c r="J69">
        <v>2</v>
      </c>
      <c r="K69">
        <v>51</v>
      </c>
      <c r="L69">
        <v>2.1</v>
      </c>
      <c r="M69">
        <v>0.3</v>
      </c>
      <c r="N69">
        <v>7.1</v>
      </c>
      <c r="O69">
        <v>0.4</v>
      </c>
      <c r="P69">
        <v>1</v>
      </c>
      <c r="Q69">
        <v>1.6</v>
      </c>
    </row>
    <row r="70" spans="1:17" x14ac:dyDescent="0.3">
      <c r="A70" t="s">
        <v>67</v>
      </c>
      <c r="B70" s="1">
        <v>41528</v>
      </c>
      <c r="C70" t="s">
        <v>68</v>
      </c>
      <c r="D70" t="s">
        <v>27</v>
      </c>
      <c r="E70">
        <v>176</v>
      </c>
      <c r="F70">
        <v>1000</v>
      </c>
      <c r="G70">
        <v>26</v>
      </c>
      <c r="H70" t="s">
        <v>20</v>
      </c>
      <c r="I70">
        <v>7.2</v>
      </c>
      <c r="J70">
        <v>0.5</v>
      </c>
      <c r="K70">
        <v>56</v>
      </c>
      <c r="L70">
        <v>2.2999999999999998</v>
      </c>
      <c r="M70">
        <v>0.1</v>
      </c>
      <c r="N70">
        <v>8.8000000000000007</v>
      </c>
      <c r="O70">
        <v>0.4</v>
      </c>
      <c r="P70">
        <v>0.7</v>
      </c>
      <c r="Q70">
        <v>0.4</v>
      </c>
    </row>
    <row r="71" spans="1:17" x14ac:dyDescent="0.3">
      <c r="A71" t="s">
        <v>67</v>
      </c>
      <c r="B71" s="1">
        <v>41528</v>
      </c>
      <c r="C71" t="s">
        <v>68</v>
      </c>
      <c r="D71" t="s">
        <v>27</v>
      </c>
      <c r="E71">
        <v>176</v>
      </c>
      <c r="F71">
        <v>1000</v>
      </c>
      <c r="G71">
        <v>26</v>
      </c>
      <c r="H71" t="s">
        <v>20</v>
      </c>
      <c r="I71">
        <v>7.6</v>
      </c>
      <c r="J71">
        <v>0.3</v>
      </c>
      <c r="K71">
        <v>63</v>
      </c>
      <c r="L71">
        <v>3.6</v>
      </c>
      <c r="M71">
        <v>0.1</v>
      </c>
      <c r="N71">
        <v>8.1</v>
      </c>
      <c r="O71">
        <v>0.5</v>
      </c>
      <c r="P71">
        <v>0.2</v>
      </c>
      <c r="Q71">
        <v>0.2</v>
      </c>
    </row>
    <row r="72" spans="1:17" x14ac:dyDescent="0.3">
      <c r="A72" t="s">
        <v>69</v>
      </c>
      <c r="B72" s="1">
        <v>41529</v>
      </c>
      <c r="C72" t="s">
        <v>70</v>
      </c>
      <c r="D72" t="s">
        <v>65</v>
      </c>
      <c r="E72">
        <v>322</v>
      </c>
      <c r="F72">
        <v>2000</v>
      </c>
      <c r="G72">
        <v>24</v>
      </c>
      <c r="H72" t="s">
        <v>24</v>
      </c>
      <c r="I72">
        <v>6.8</v>
      </c>
      <c r="J72">
        <v>0.8</v>
      </c>
      <c r="K72">
        <v>49</v>
      </c>
      <c r="L72">
        <v>1.4</v>
      </c>
      <c r="M72">
        <v>0.7</v>
      </c>
      <c r="N72">
        <v>9.3000000000000007</v>
      </c>
      <c r="O72">
        <v>0.4</v>
      </c>
      <c r="P72">
        <v>4.0999999999999996</v>
      </c>
      <c r="Q72">
        <v>0.5</v>
      </c>
    </row>
    <row r="73" spans="1:17" x14ac:dyDescent="0.3">
      <c r="A73" t="s">
        <v>69</v>
      </c>
      <c r="B73" s="1">
        <v>41529</v>
      </c>
      <c r="C73" t="s">
        <v>70</v>
      </c>
      <c r="D73" t="s">
        <v>65</v>
      </c>
      <c r="E73">
        <v>322</v>
      </c>
      <c r="F73">
        <v>2000</v>
      </c>
      <c r="G73">
        <v>24</v>
      </c>
      <c r="H73" t="s">
        <v>24</v>
      </c>
      <c r="I73">
        <v>7.2</v>
      </c>
      <c r="J73">
        <v>0.9</v>
      </c>
      <c r="K73">
        <v>22.6</v>
      </c>
      <c r="L73">
        <v>1.1000000000000001</v>
      </c>
      <c r="M73">
        <v>0.2</v>
      </c>
      <c r="N73">
        <v>3.5</v>
      </c>
      <c r="O73">
        <v>0.3</v>
      </c>
      <c r="P73">
        <v>2.1</v>
      </c>
      <c r="Q73">
        <v>0.1</v>
      </c>
    </row>
    <row r="74" spans="1:17" x14ac:dyDescent="0.3">
      <c r="A74" t="s">
        <v>69</v>
      </c>
      <c r="B74" s="1">
        <v>41529</v>
      </c>
      <c r="C74" t="s">
        <v>70</v>
      </c>
      <c r="D74" t="s">
        <v>65</v>
      </c>
      <c r="E74">
        <v>322</v>
      </c>
      <c r="F74">
        <v>2000</v>
      </c>
      <c r="G74">
        <v>24</v>
      </c>
      <c r="H74" t="s">
        <v>24</v>
      </c>
      <c r="I74">
        <v>7</v>
      </c>
      <c r="J74">
        <v>0.5</v>
      </c>
      <c r="K74">
        <v>18.7</v>
      </c>
      <c r="L74">
        <v>1.1000000000000001</v>
      </c>
      <c r="M74">
        <v>0.1</v>
      </c>
      <c r="N74">
        <v>2.9</v>
      </c>
      <c r="O74">
        <v>0.4</v>
      </c>
      <c r="P74">
        <v>2.5</v>
      </c>
      <c r="Q74">
        <v>0</v>
      </c>
    </row>
    <row r="75" spans="1:17" x14ac:dyDescent="0.3">
      <c r="A75" t="s">
        <v>69</v>
      </c>
      <c r="B75" s="1">
        <v>41529</v>
      </c>
      <c r="C75" t="s">
        <v>70</v>
      </c>
      <c r="D75" t="s">
        <v>65</v>
      </c>
      <c r="E75">
        <v>322</v>
      </c>
      <c r="F75">
        <v>2000</v>
      </c>
      <c r="G75">
        <v>24</v>
      </c>
      <c r="H75" t="s">
        <v>24</v>
      </c>
      <c r="I75">
        <v>7.1</v>
      </c>
      <c r="J75">
        <v>0.3</v>
      </c>
      <c r="K75">
        <v>24.7</v>
      </c>
      <c r="L75">
        <v>1.6</v>
      </c>
      <c r="M75">
        <v>0.1</v>
      </c>
      <c r="N75">
        <v>2.6</v>
      </c>
      <c r="O75">
        <v>0.4</v>
      </c>
      <c r="P75">
        <v>2.8</v>
      </c>
      <c r="Q75">
        <v>0</v>
      </c>
    </row>
    <row r="76" spans="1:17" x14ac:dyDescent="0.3">
      <c r="A76" t="s">
        <v>69</v>
      </c>
      <c r="B76" s="1">
        <v>41529</v>
      </c>
      <c r="C76" t="s">
        <v>70</v>
      </c>
      <c r="D76" t="s">
        <v>65</v>
      </c>
      <c r="E76">
        <v>322</v>
      </c>
      <c r="F76">
        <v>2000</v>
      </c>
      <c r="G76">
        <v>24</v>
      </c>
      <c r="H76" t="s">
        <v>24</v>
      </c>
      <c r="I76">
        <v>7.6</v>
      </c>
      <c r="J76">
        <v>0.5</v>
      </c>
      <c r="K76">
        <v>23.5</v>
      </c>
      <c r="L76">
        <v>1</v>
      </c>
      <c r="M76">
        <v>0.1</v>
      </c>
      <c r="N76">
        <v>2.5</v>
      </c>
      <c r="O76">
        <v>0.3</v>
      </c>
      <c r="P76">
        <v>3.4</v>
      </c>
      <c r="Q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596C-B887-423D-BC8A-C995DD085951}">
  <dimension ref="A1:M10"/>
  <sheetViews>
    <sheetView tabSelected="1" topLeftCell="A68" zoomScale="70" zoomScaleNormal="70" workbookViewId="0">
      <selection activeCell="T89" sqref="T89"/>
    </sheetView>
  </sheetViews>
  <sheetFormatPr baseColWidth="10" defaultRowHeight="14.4" x14ac:dyDescent="0.3"/>
  <cols>
    <col min="1" max="11" width="11.5546875" style="2"/>
    <col min="12" max="13" width="11.5546875" style="3"/>
    <col min="14" max="16384" width="11.5546875" style="2"/>
  </cols>
  <sheetData>
    <row r="1" spans="1:13" ht="14.4" customHeight="1" x14ac:dyDescent="0.35">
      <c r="A1" s="12" t="s">
        <v>85</v>
      </c>
      <c r="B1" s="12"/>
      <c r="C1" s="12"/>
      <c r="D1" s="12"/>
      <c r="E1" s="12"/>
      <c r="F1" s="12"/>
      <c r="G1" s="12"/>
      <c r="H1" s="12"/>
      <c r="I1" s="12"/>
    </row>
    <row r="2" spans="1:13" ht="39" customHeight="1" x14ac:dyDescent="0.3">
      <c r="A2" s="9" t="s">
        <v>71</v>
      </c>
      <c r="B2" s="9" t="s">
        <v>72</v>
      </c>
      <c r="C2" s="9" t="s">
        <v>73</v>
      </c>
      <c r="D2" s="9" t="s">
        <v>86</v>
      </c>
      <c r="E2" s="9" t="s">
        <v>74</v>
      </c>
      <c r="F2" s="9" t="s">
        <v>75</v>
      </c>
      <c r="G2" s="9" t="s">
        <v>76</v>
      </c>
      <c r="H2" s="9" t="s">
        <v>77</v>
      </c>
      <c r="I2" s="9" t="s">
        <v>78</v>
      </c>
      <c r="L2" s="11" t="s">
        <v>87</v>
      </c>
      <c r="M2" s="11"/>
    </row>
    <row r="3" spans="1:13" ht="31.2" x14ac:dyDescent="0.3">
      <c r="A3" s="8" t="s">
        <v>47</v>
      </c>
      <c r="B3" s="4">
        <v>6</v>
      </c>
      <c r="C3" s="5" t="s">
        <v>79</v>
      </c>
      <c r="D3" s="6">
        <v>1.4330000000000001</v>
      </c>
      <c r="E3" s="7">
        <v>5.15</v>
      </c>
      <c r="F3" s="7">
        <v>16.600000000000001</v>
      </c>
      <c r="G3" s="7">
        <v>2.4</v>
      </c>
      <c r="H3" s="7">
        <v>33.33</v>
      </c>
      <c r="I3" s="7">
        <v>88.8</v>
      </c>
      <c r="L3" s="10" t="s">
        <v>82</v>
      </c>
      <c r="M3" s="10" t="s">
        <v>83</v>
      </c>
    </row>
    <row r="4" spans="1:13" ht="31.2" x14ac:dyDescent="0.3">
      <c r="A4" s="8" t="s">
        <v>23</v>
      </c>
      <c r="B4" s="4">
        <v>9</v>
      </c>
      <c r="C4" s="5" t="s">
        <v>80</v>
      </c>
      <c r="D4" s="6">
        <v>1.111</v>
      </c>
      <c r="E4" s="6">
        <v>0.17799999999999999</v>
      </c>
      <c r="F4" s="7">
        <v>11.76</v>
      </c>
      <c r="G4" s="7">
        <v>3.8109999999999999</v>
      </c>
      <c r="H4" s="7">
        <v>5.6</v>
      </c>
      <c r="I4" s="7">
        <v>75.2</v>
      </c>
      <c r="L4" s="4">
        <v>1</v>
      </c>
      <c r="M4" s="4" t="s">
        <v>73</v>
      </c>
    </row>
    <row r="5" spans="1:13" ht="31.2" x14ac:dyDescent="0.3">
      <c r="A5" s="8" t="s">
        <v>27</v>
      </c>
      <c r="B5" s="4">
        <v>13</v>
      </c>
      <c r="C5" s="7">
        <v>6.05</v>
      </c>
      <c r="D5" s="6">
        <v>0.61499999999999999</v>
      </c>
      <c r="E5" s="7">
        <v>0.41499999999999998</v>
      </c>
      <c r="F5" s="7">
        <v>5.3380000000000001</v>
      </c>
      <c r="G5" s="7">
        <v>1.1619999999999999</v>
      </c>
      <c r="H5" s="6">
        <v>1.615</v>
      </c>
      <c r="I5" s="7">
        <v>54.4</v>
      </c>
      <c r="L5" s="4">
        <v>2</v>
      </c>
      <c r="M5" s="4" t="s">
        <v>84</v>
      </c>
    </row>
    <row r="6" spans="1:13" ht="15.6" x14ac:dyDescent="0.3">
      <c r="A6" s="8" t="s">
        <v>39</v>
      </c>
      <c r="B6" s="4">
        <v>7</v>
      </c>
      <c r="C6" s="7">
        <v>6.36</v>
      </c>
      <c r="D6" s="7">
        <v>1.5</v>
      </c>
      <c r="E6" s="7">
        <v>1.357</v>
      </c>
      <c r="F6" s="6">
        <v>3.1709999999999998</v>
      </c>
      <c r="G6" s="7">
        <v>0.81399999999999995</v>
      </c>
      <c r="H6" s="6">
        <v>1.9139999999999999</v>
      </c>
      <c r="I6" s="6">
        <v>26.8</v>
      </c>
      <c r="L6" s="4">
        <v>3</v>
      </c>
      <c r="M6" s="4" t="s">
        <v>74</v>
      </c>
    </row>
    <row r="7" spans="1:13" ht="15.6" x14ac:dyDescent="0.3">
      <c r="A7" s="8" t="s">
        <v>50</v>
      </c>
      <c r="B7" s="4">
        <v>6</v>
      </c>
      <c r="C7" s="7">
        <v>6.82</v>
      </c>
      <c r="D7" s="6">
        <v>0.183</v>
      </c>
      <c r="E7" s="7">
        <v>1.383</v>
      </c>
      <c r="F7" s="6">
        <v>3.2330000000000001</v>
      </c>
      <c r="G7" s="7">
        <v>0.73299999999999998</v>
      </c>
      <c r="H7" s="6">
        <v>3.633</v>
      </c>
      <c r="I7" s="7">
        <v>95.2</v>
      </c>
      <c r="L7" s="4">
        <v>4</v>
      </c>
      <c r="M7" s="4" t="s">
        <v>75</v>
      </c>
    </row>
    <row r="8" spans="1:13" ht="31.2" x14ac:dyDescent="0.3">
      <c r="A8" s="8" t="s">
        <v>58</v>
      </c>
      <c r="B8" s="4">
        <v>7</v>
      </c>
      <c r="C8" s="7">
        <v>6.1</v>
      </c>
      <c r="D8" s="6">
        <v>0.157</v>
      </c>
      <c r="E8" s="7">
        <v>1.2569999999999999</v>
      </c>
      <c r="F8" s="6">
        <v>1.214</v>
      </c>
      <c r="G8" s="7">
        <v>0.71399999999999997</v>
      </c>
      <c r="H8" s="7">
        <v>8.6430000000000007</v>
      </c>
      <c r="I8" s="7">
        <v>87.4</v>
      </c>
      <c r="L8" s="4">
        <v>5</v>
      </c>
      <c r="M8" s="4" t="s">
        <v>76</v>
      </c>
    </row>
    <row r="9" spans="1:13" ht="15.6" x14ac:dyDescent="0.3">
      <c r="A9" s="8" t="s">
        <v>19</v>
      </c>
      <c r="B9" s="4">
        <v>18</v>
      </c>
      <c r="C9" s="6" t="s">
        <v>81</v>
      </c>
      <c r="D9" s="6">
        <v>0.47799999999999998</v>
      </c>
      <c r="E9" s="7">
        <v>0.81699999999999995</v>
      </c>
      <c r="F9" s="6">
        <v>4.9279999999999999</v>
      </c>
      <c r="G9" s="7">
        <v>0.86099999999999999</v>
      </c>
      <c r="H9" s="6">
        <v>4.117</v>
      </c>
      <c r="I9" s="7">
        <v>77.599999999999994</v>
      </c>
      <c r="L9" s="4">
        <v>6</v>
      </c>
      <c r="M9" s="4" t="s">
        <v>77</v>
      </c>
    </row>
    <row r="10" spans="1:13" ht="15.6" x14ac:dyDescent="0.3">
      <c r="A10" s="8" t="s">
        <v>65</v>
      </c>
      <c r="B10" s="4">
        <v>9</v>
      </c>
      <c r="C10" s="7">
        <v>6.63</v>
      </c>
      <c r="D10" s="6">
        <v>0.85599999999999998</v>
      </c>
      <c r="E10" s="6">
        <v>0.25600000000000001</v>
      </c>
      <c r="F10" s="6">
        <v>3.222</v>
      </c>
      <c r="G10" s="7">
        <v>2.3780000000000001</v>
      </c>
      <c r="H10" s="6">
        <v>8.8999999999999996E-2</v>
      </c>
      <c r="I10" s="6">
        <v>22.3</v>
      </c>
      <c r="L10" s="4">
        <v>7</v>
      </c>
      <c r="M10" s="4" t="s">
        <v>78</v>
      </c>
    </row>
  </sheetData>
  <mergeCells count="2">
    <mergeCell ref="L2:M2"/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base_suelos_final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Ernestina De La Concha Pacheco</dc:creator>
  <cp:lastModifiedBy>Karla Ernestina De La Concha Pacheco</cp:lastModifiedBy>
  <dcterms:created xsi:type="dcterms:W3CDTF">2026-05-27T23:16:48Z</dcterms:created>
  <dcterms:modified xsi:type="dcterms:W3CDTF">2026-06-04T05:13:55Z</dcterms:modified>
</cp:coreProperties>
</file>